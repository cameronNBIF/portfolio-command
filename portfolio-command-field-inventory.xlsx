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Field Inventory" sheetId="2" state="visible" r:id="rId4"/>
    <sheet name="Proposed Schema" sheetId="3" state="visible" r:id="rId5"/>
    <sheet name="Source Map" sheetId="4" state="visible" r:id="rId6"/>
    <sheet name="Decisions &amp; Actions" sheetId="5" state="visible" r:id="rId7"/>
  </sheets>
  <definedNames>
    <definedName function="false" hidden="true" localSheetId="1" name="_xlnm._FilterDatabase" vbProcedure="false">'Field Inventory'!$A$1:$O$149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<sst xmlns="http://schemas.openxmlformats.org/spreadsheetml/2006/main" count="2985" uniqueCount="920">
  <si>
    <t xml:space="preserve">Portfolio Command - Master Data Field Inventory</t>
  </si>
  <si>
    <t xml:space="preserve">Rev 4 - 28 July 2026. All twelve questions and all six open items closed. Two decisions outstanding with the VC team lead: D-1 and D-6.</t>
  </si>
  <si>
    <t xml:space="preserve">What changed in this revision</t>
  </si>
  <si>
    <t xml:space="preserve">Fiscal calendar resolved. Visible reports on CALENDAR quarters (the 5 Aug 2026 submission is Q2 2026 = Apr-Jun).</t>
  </si>
  <si>
    <t xml:space="preserve">The fiscal year starts 1 April, so that same period is FY2026-27 Q1. Periods are stored as dates; both labels are derived.</t>
  </si>
  <si>
    <t xml:space="preserve">Currency resolved to CAD. Reporting is CAD; per-amount currency and FX columns are retained as cheap insurance.</t>
  </si>
  <si>
    <t xml:space="preserve">Mandate capture resolved. Round total, NB co-investor amounts and ownership are entered by the deal lead at close.</t>
  </si>
  <si>
    <t xml:space="preserve">Valuation sign-off resolved. The Director of Finance enters the mark and entry is the sign-off; no separate approval step.</t>
  </si>
  <si>
    <t xml:space="preserve">Realization duplication resolved. One transaction table is authoritative for both fund DPI and company MOIC.</t>
  </si>
  <si>
    <t xml:space="preserve">Metric definitions frozen at Daniel's implementations; differences against the funding agreement deferred.</t>
  </si>
  <si>
    <t xml:space="preserve">Companion documents</t>
  </si>
  <si>
    <t xml:space="preserve">architecture-decisions.md</t>
  </si>
  <si>
    <t xml:space="preserve">Sixteen architecture decision records, ADR-001 to ADR-016, plus six carried-forward open items.</t>
  </si>
  <si>
    <t xml:space="preserve">schema.sql</t>
  </si>
  <si>
    <t xml:space="preserve">Postgres DDL implementing this inventory: 35 tables, 7 derived views, period-labelling functions.</t>
  </si>
  <si>
    <t xml:space="preserve">Status legend</t>
  </si>
  <si>
    <t xml:space="preserve">Confirmed</t>
  </si>
  <si>
    <t xml:space="preserve">Source system known and the decision is made.</t>
  </si>
  <si>
    <t xml:space="preserve">To Build</t>
  </si>
  <si>
    <t xml:space="preserve">Decision made, but the source system does not exist yet - chiefly the transaction registry.</t>
  </si>
  <si>
    <t xml:space="preserve">Open</t>
  </si>
  <si>
    <t xml:space="preserve">Outstanding decision. Only D-1 and D-6 remain, both with the VC team lead.</t>
  </si>
  <si>
    <t xml:space="preserve">Field counts (live formulas)</t>
  </si>
  <si>
    <t xml:space="preserve">Total fields in MVP</t>
  </si>
  <si>
    <t xml:space="preserve">Stored</t>
  </si>
  <si>
    <t xml:space="preserve">Derived (must not be stored)</t>
  </si>
  <si>
    <t xml:space="preserve">Sourced from Affinity</t>
  </si>
  <si>
    <t xml:space="preserve">Sourced from Visible.vc</t>
  </si>
  <si>
    <t xml:space="preserve">Sourced from Finance</t>
  </si>
  <si>
    <t xml:space="preserve">Entered in the platform</t>
  </si>
  <si>
    <t xml:space="preserve">Entity</t>
  </si>
  <si>
    <t xml:space="preserve">MVP Field</t>
  </si>
  <si>
    <t xml:space="preserve">JSON Path</t>
  </si>
  <si>
    <t xml:space="preserve">Type</t>
  </si>
  <si>
    <t xml:space="preserve">Unit / Format</t>
  </si>
  <si>
    <t xml:space="preserve">Enum / Constraint</t>
  </si>
  <si>
    <t xml:space="preserve">Stored or Derived</t>
  </si>
  <si>
    <t xml:space="preserve">Target Table</t>
  </si>
  <si>
    <t xml:space="preserve">Target Column</t>
  </si>
  <si>
    <t xml:space="preserve">Source System</t>
  </si>
  <si>
    <t xml:space="preserve">System of Record</t>
  </si>
  <si>
    <t xml:space="preserve">Cadence</t>
  </si>
  <si>
    <t xml:space="preserve">Status</t>
  </si>
  <si>
    <t xml:space="preserve">Decision Ref</t>
  </si>
  <si>
    <t xml:space="preserve">Notes</t>
  </si>
  <si>
    <t xml:space="preserve">fund</t>
  </si>
  <si>
    <t xml:space="preserve">name</t>
  </si>
  <si>
    <t xml:space="preserve">fund.name</t>
  </si>
  <si>
    <t xml:space="preserve">string</t>
  </si>
  <si>
    <t xml:space="preserve">text</t>
  </si>
  <si>
    <t xml:space="preserve">Platform (user entry)</t>
  </si>
  <si>
    <t xml:space="preserve">Platform</t>
  </si>
  <si>
    <t xml:space="preserve">Static</t>
  </si>
  <si>
    <t xml:space="preserve">ADR-013</t>
  </si>
  <si>
    <t xml:space="preserve">Single evergreen vehicle today; table allows multiple vehicles later.</t>
  </si>
  <si>
    <t xml:space="preserve">currency</t>
  </si>
  <si>
    <t xml:space="preserve">fund.currency</t>
  </si>
  <si>
    <t xml:space="preserve">ISO 4217</t>
  </si>
  <si>
    <t xml:space="preserve">USD | CAD</t>
  </si>
  <si>
    <t xml:space="preserve">reporting_currency</t>
  </si>
  <si>
    <t xml:space="preserve">Platform config</t>
  </si>
  <si>
    <t xml:space="preserve">ADR-008</t>
  </si>
  <si>
    <t xml:space="preserve">CONFIRMED CAD (Q3). Schema keeps per-amount currency + FX columns so one future USD position is a data question, not a migration.</t>
  </si>
  <si>
    <t xml:space="preserve">vintage</t>
  </si>
  <si>
    <t xml:space="preserve">fund.vintage</t>
  </si>
  <si>
    <t xml:space="preserve">integer</t>
  </si>
  <si>
    <t xml:space="preserve">YYYY</t>
  </si>
  <si>
    <t xml:space="preserve">inception_year</t>
  </si>
  <si>
    <t xml:space="preserve">Inception year, not a closed-end vintage.</t>
  </si>
  <si>
    <t xml:space="preserve">style</t>
  </si>
  <si>
    <t xml:space="preserve">fund.style</t>
  </si>
  <si>
    <t xml:space="preserve">enum</t>
  </si>
  <si>
    <t xml:space="preserve">evergreen | closed-end</t>
  </si>
  <si>
    <t xml:space="preserve">Confirmed evergreen. Drives labels app-wide.</t>
  </si>
  <si>
    <t xml:space="preserve">capitalBase</t>
  </si>
  <si>
    <t xml:space="preserve">fund.capitalBase</t>
  </si>
  <si>
    <t xml:space="preserve">decimal</t>
  </si>
  <si>
    <t xml:space="preserve">$M</t>
  </si>
  <si>
    <t xml:space="preserve">capital_base</t>
  </si>
  <si>
    <t xml:space="preserve">Finance - transaction registry</t>
  </si>
  <si>
    <t xml:space="preserve">Finance</t>
  </si>
  <si>
    <t xml:space="preserve">On change</t>
  </si>
  <si>
    <t xml:space="preserve">ADR-011</t>
  </si>
  <si>
    <t xml:space="preserve">Permanent capital base. Should be a dated series, not a scalar, if it changes.</t>
  </si>
  <si>
    <t xml:space="preserve">committed</t>
  </si>
  <si>
    <t xml:space="preserve">fund.committed</t>
  </si>
  <si>
    <t xml:space="preserve">Closed-end only. Unused in evergreen mode - retain for schema compatibility.</t>
  </si>
  <si>
    <t xml:space="preserve">called</t>
  </si>
  <si>
    <t xml:space="preserve">fund.called</t>
  </si>
  <si>
    <t xml:space="preserve">distributionPolicy</t>
  </si>
  <si>
    <t xml:space="preserve">fund.distributionPolicy</t>
  </si>
  <si>
    <t xml:space="preserve">long text</t>
  </si>
  <si>
    <t xml:space="preserve">distribution_policy</t>
  </si>
  <si>
    <t xml:space="preserve">Printed on board reports next to DPI.</t>
  </si>
  <si>
    <t xml:space="preserve">feeDragPct</t>
  </si>
  <si>
    <t xml:space="preserve">fund.feeDragPct</t>
  </si>
  <si>
    <t xml:space="preserve">pct points</t>
  </si>
  <si>
    <t xml:space="preserve">0-100</t>
  </si>
  <si>
    <t xml:space="preserve">fee_drag_pct</t>
  </si>
  <si>
    <t xml:space="preserve">Annual</t>
  </si>
  <si>
    <t xml:space="preserve">Net IRR = gross - this. Labelled an estimate on screen. Keep the label.</t>
  </si>
  <si>
    <t xml:space="preserve">annualPlatformTarget</t>
  </si>
  <si>
    <t xml:space="preserve">fund.annualPlatformTarget</t>
  </si>
  <si>
    <t xml:space="preserve">count</t>
  </si>
  <si>
    <t xml:space="preserve">annual_platform_target</t>
  </si>
  <si>
    <t xml:space="preserve">Pipeline target tracker.</t>
  </si>
  <si>
    <t xml:space="preserve">annualFollowOnBudget</t>
  </si>
  <si>
    <t xml:space="preserve">fund.annualFollowOnBudget</t>
  </si>
  <si>
    <t xml:space="preserve">annual_followon_budget</t>
  </si>
  <si>
    <t xml:space="preserve">Reserves tool budget line.</t>
  </si>
  <si>
    <t xml:space="preserve">ytdPlatformsClosed</t>
  </si>
  <si>
    <t xml:space="preserve">fund.ytdPlatformsClosed</t>
  </si>
  <si>
    <t xml:space="preserve">Derived</t>
  </si>
  <si>
    <t xml:space="preserve">-</t>
  </si>
  <si>
    <t xml:space="preserve">Derived (computed)</t>
  </si>
  <si>
    <t xml:space="preserve">Live</t>
  </si>
  <si>
    <t xml:space="preserve">ADR-002</t>
  </si>
  <si>
    <t xml:space="preserve">MVP stores it. Derive from pipeline deals with funnel=Closed in current FY - do not store.</t>
  </si>
  <si>
    <t xml:space="preserve">reservesPolicy</t>
  </si>
  <si>
    <t xml:space="preserve">fund.reservesPolicy</t>
  </si>
  <si>
    <t xml:space="preserve">reserves_policy</t>
  </si>
  <si>
    <t xml:space="preserve">Text of the heuristic used by the reserves suggester.</t>
  </si>
  <si>
    <t xml:space="preserve">navHistory[].q</t>
  </si>
  <si>
    <t xml:space="preserve">fund.navHistory[].q</t>
  </si>
  <si>
    <t xml:space="preserve">YYYY-Qn</t>
  </si>
  <si>
    <t xml:space="preserve">fund_nav_snapshot</t>
  </si>
  <si>
    <t xml:space="preserve">period_label</t>
  </si>
  <si>
    <t xml:space="preserve">Quarterly</t>
  </si>
  <si>
    <t xml:space="preserve">ADR-006</t>
  </si>
  <si>
    <t xml:space="preserve">Replaced by fund_nav_snapshot keyed on period_end (a date). Fiscal and calendar labels are both derived. Frozen on board-report issue.</t>
  </si>
  <si>
    <t xml:space="preserve">navHistory[].nav</t>
  </si>
  <si>
    <t xml:space="preserve">fund.navHistory[].nav</t>
  </si>
  <si>
    <t xml:space="preserve">nav</t>
  </si>
  <si>
    <t xml:space="preserve">Should be SUM(latest valuation_mark per company as of period end). Freeze on report issue.</t>
  </si>
  <si>
    <t xml:space="preserve">navHistory[].cost</t>
  </si>
  <si>
    <t xml:space="preserve">fund.navHistory[].cost</t>
  </si>
  <si>
    <t xml:space="preserve">cumulative_cost</t>
  </si>
  <si>
    <t xml:space="preserve">Cumulative invested cost as of period end, from transaction registry.</t>
  </si>
  <si>
    <t xml:space="preserve">distributions[].date</t>
  </si>
  <si>
    <t xml:space="preserve">fund.distributions[].date</t>
  </si>
  <si>
    <t xml:space="preserve">date</t>
  </si>
  <si>
    <t xml:space="preserve">YYYY-MM-DD</t>
  </si>
  <si>
    <t xml:space="preserve">transaction</t>
  </si>
  <si>
    <t xml:space="preserve">txn_date</t>
  </si>
  <si>
    <t xml:space="preserve">Per event</t>
  </si>
  <si>
    <t xml:space="preserve">RESOLVED (Q4): single transaction table is authoritative. Becomes a transaction row of type 'realization'. Registry is being built as part of this platform (ADR-011).</t>
  </si>
  <si>
    <t xml:space="preserve">distributions[].amount</t>
  </si>
  <si>
    <t xml:space="preserve">fund.distributions[].amount</t>
  </si>
  <si>
    <t xml:space="preserve">&gt; 0</t>
  </si>
  <si>
    <t xml:space="preserve">amount</t>
  </si>
  <si>
    <t xml:space="preserve">RESOLVED (Q4): single transaction table is authoritative. Duplicates company.realized in the MVP - see reconciliation note.</t>
  </si>
  <si>
    <t xml:space="preserve">distributions[].company</t>
  </si>
  <si>
    <t xml:space="preserve">fund.distributions[].company</t>
  </si>
  <si>
    <t xml:space="preserve">company_id</t>
  </si>
  <si>
    <t xml:space="preserve">RESOLVED (Q4): single transaction table is authoritative. Free-text company name in MVP. Must become a company_id FK.</t>
  </si>
  <si>
    <t xml:space="preserve">distributions[].note</t>
  </si>
  <si>
    <t xml:space="preserve">fund.distributions[].note</t>
  </si>
  <si>
    <t xml:space="preserve">note</t>
  </si>
  <si>
    <t xml:space="preserve">RESOLVED (Q4): single transaction table is authoritative. e.g. 'Acquisition proceeds', 'Partial secondary'.</t>
  </si>
  <si>
    <t xml:space="preserve">company</t>
  </si>
  <si>
    <t xml:space="preserve">id</t>
  </si>
  <si>
    <t xml:space="preserve">companies[].id</t>
  </si>
  <si>
    <t xml:space="preserve">Cnnn</t>
  </si>
  <si>
    <t xml:space="preserve">unique</t>
  </si>
  <si>
    <t xml:space="preserve">Internal surrogate key. Keep the Cnnn format so Daniel's exports stay readable.</t>
  </si>
  <si>
    <t xml:space="preserve">companies[].name</t>
  </si>
  <si>
    <t xml:space="preserve">Affinity</t>
  </si>
  <si>
    <t xml:space="preserve">ADR-009</t>
  </si>
  <si>
    <t xml:space="preserve">Affinity is SoR for company identity.</t>
  </si>
  <si>
    <t xml:space="preserve">sector</t>
  </si>
  <si>
    <t xml:space="preserve">companies[].sector</t>
  </si>
  <si>
    <t xml:space="preserve">10 values (SECTORS)</t>
  </si>
  <si>
    <t xml:space="preserve">sector_id</t>
  </si>
  <si>
    <t xml:space="preserve">MVP list is generic tech sectors. Confirm it matches the Affinity field values.</t>
  </si>
  <si>
    <t xml:space="preserve">stage</t>
  </si>
  <si>
    <t xml:space="preserve">companies[].stage</t>
  </si>
  <si>
    <t xml:space="preserve">Pre-Seed..Growth</t>
  </si>
  <si>
    <t xml:space="preserve">company_state</t>
  </si>
  <si>
    <t xml:space="preserve">Changes over time - move to a dated state table so stage-at-entry is recoverable.</t>
  </si>
  <si>
    <t xml:space="preserve">companies[].vintage</t>
  </si>
  <si>
    <t xml:space="preserve">vintage_year</t>
  </si>
  <si>
    <t xml:space="preserve">Derive from first investment transaction date. Do not hand-enter.</t>
  </si>
  <si>
    <t xml:space="preserve">health</t>
  </si>
  <si>
    <t xml:space="preserve">companies[].health</t>
  </si>
  <si>
    <t xml:space="preserve">green|yellow|red</t>
  </si>
  <si>
    <t xml:space="preserve">Analyst/IC judgement. Who sets it and when is an open question.</t>
  </si>
  <si>
    <t xml:space="preserve">instrument</t>
  </si>
  <si>
    <t xml:space="preserve">companies[].instrument</t>
  </si>
  <si>
    <t xml:space="preserve">5 values (INSTRUMENTS)</t>
  </si>
  <si>
    <t xml:space="preserve">Company-level instrument is the latest round's instrument. Derive from rounds.</t>
  </si>
  <si>
    <t xml:space="preserve">ownershipPct</t>
  </si>
  <si>
    <t xml:space="preserve">companies[].ownershipPct</t>
  </si>
  <si>
    <t xml:space="preserve">% (11.2 = 11.2%)</t>
  </si>
  <si>
    <t xml:space="preserve">company_ownership</t>
  </si>
  <si>
    <t xml:space="preserve">ownership_pct</t>
  </si>
  <si>
    <t xml:space="preserve">Per round</t>
  </si>
  <si>
    <t xml:space="preserve">ADR-012</t>
  </si>
  <si>
    <t xml:space="preserve">Platform becomes system of record via company_ownership (dated). Populated at close going forward, backfilled from SharePoint files for history.</t>
  </si>
  <si>
    <t xml:space="preserve">invested</t>
  </si>
  <si>
    <t xml:space="preserve">companies[].invested</t>
  </si>
  <si>
    <t xml:space="preserve">MUST be SUM(transaction where type in investment/follow_on). MVP stores it alongside rounds[].invested with nothing enforcing agreement.</t>
  </si>
  <si>
    <t xml:space="preserve">fmv</t>
  </si>
  <si>
    <t xml:space="preserve">companies[].fmv</t>
  </si>
  <si>
    <t xml:space="preserve">MUST be the latest valuation_mark. MVP stores it alongside marks[] with nothing enforcing agreement.</t>
  </si>
  <si>
    <t xml:space="preserve">realized</t>
  </si>
  <si>
    <t xml:space="preserve">companies[].realized</t>
  </si>
  <si>
    <t xml:space="preserve">MUST be SUM(transaction where type = realization). Duplicates fund.distributions in MVP.</t>
  </si>
  <si>
    <t xml:space="preserve">exited</t>
  </si>
  <si>
    <t xml:space="preserve">companies[].exited</t>
  </si>
  <si>
    <t xml:space="preserve">boolean</t>
  </si>
  <si>
    <t xml:space="preserve">Y/N in CSV</t>
  </si>
  <si>
    <t xml:space="preserve">Derive from presence of an exit event.</t>
  </si>
  <si>
    <t xml:space="preserve">exitDate</t>
  </si>
  <si>
    <t xml:space="preserve">companies[].exitDate</t>
  </si>
  <si>
    <t xml:space="preserve">company_exit</t>
  </si>
  <si>
    <t xml:space="preserve">exit_date</t>
  </si>
  <si>
    <t xml:space="preserve">Optional in MVP - only present on generated demo companies.</t>
  </si>
  <si>
    <t xml:space="preserve">exitType</t>
  </si>
  <si>
    <t xml:space="preserve">companies[].exitType</t>
  </si>
  <si>
    <t xml:space="preserve">Acquisition | Shutdown / write-off | IPO | Secondary</t>
  </si>
  <si>
    <t xml:space="preserve">exit_type</t>
  </si>
  <si>
    <t xml:space="preserve">MVP has only two values in demo data. Confirm the full list you report on.</t>
  </si>
  <si>
    <t xml:space="preserve">ceo</t>
  </si>
  <si>
    <t xml:space="preserve">companies[].ceo</t>
  </si>
  <si>
    <t xml:space="preserve">ceo_name</t>
  </si>
  <si>
    <t xml:space="preserve">Affinity person record.</t>
  </si>
  <si>
    <t xml:space="preserve">hq</t>
  </si>
  <si>
    <t xml:space="preserve">companies[].hq</t>
  </si>
  <si>
    <t xml:space="preserve">City, Prov</t>
  </si>
  <si>
    <t xml:space="preserve">hq_city / hq_region</t>
  </si>
  <si>
    <t xml:space="preserve">Split into city / province / country columns. NB flag drives mandate reporting - do not keep as free text.</t>
  </si>
  <si>
    <t xml:space="preserve">desc</t>
  </si>
  <si>
    <t xml:space="preserve">companies[].desc</t>
  </si>
  <si>
    <t xml:space="preserve">description</t>
  </si>
  <si>
    <t xml:space="preserve">One-line business description used in memo prefill.</t>
  </si>
  <si>
    <t xml:space="preserve">source</t>
  </si>
  <si>
    <t xml:space="preserve">companies[].source</t>
  </si>
  <si>
    <t xml:space="preserve">8 values (SOURCES)</t>
  </si>
  <si>
    <t xml:space="preserve">source_channel_id</t>
  </si>
  <si>
    <t xml:space="preserve">Sourcing channel. Confirm Affinity has a controlled-vocabulary field for this.</t>
  </si>
  <si>
    <t xml:space="preserve">proRata</t>
  </si>
  <si>
    <t xml:space="preserve">companies[].proRata</t>
  </si>
  <si>
    <t xml:space="preserve">pro_rata_rights</t>
  </si>
  <si>
    <t xml:space="preserve">Cap table (SharePoint XLSX)</t>
  </si>
  <si>
    <t xml:space="preserve">Legal docs</t>
  </si>
  <si>
    <t xml:space="preserve">Drives the reserves suggester. Comes from the round documents.</t>
  </si>
  <si>
    <t xml:space="preserve">riskFlags[]</t>
  </si>
  <si>
    <t xml:space="preserve">companies[].riskFlags[]</t>
  </si>
  <si>
    <t xml:space="preserve">array&lt;string&gt;</t>
  </si>
  <si>
    <t xml:space="preserve">company_risk_flag</t>
  </si>
  <si>
    <t xml:space="preserve">flag_text</t>
  </si>
  <si>
    <t xml:space="preserve">Free text today. Consider a controlled list so alerts can be grouped.</t>
  </si>
  <si>
    <t xml:space="preserve">fte</t>
  </si>
  <si>
    <t xml:space="preserve">companies[].fte</t>
  </si>
  <si>
    <t xml:space="preserve">headcount</t>
  </si>
  <si>
    <t xml:space="preserve">company_kpi</t>
  </si>
  <si>
    <t xml:space="preserve">Visible.vc</t>
  </si>
  <si>
    <t xml:space="preserve">ADR-010</t>
  </si>
  <si>
    <t xml:space="preserve">RESOLVED (Q6): definition is set in the Visible request wording and accepted as reported. Moves to company_kpi as a quarterly series; request_version stamps the wording that produced each row.</t>
  </si>
  <si>
    <t xml:space="preserve">fteNB</t>
  </si>
  <si>
    <t xml:space="preserve">companies[].fteNB</t>
  </si>
  <si>
    <t xml:space="preserve">&lt;= fte</t>
  </si>
  <si>
    <t xml:space="preserve">fte_nb</t>
  </si>
  <si>
    <t xml:space="preserve">RESOLVED (Q6): definition is described to portfolio companies in the Visible request; the reported number is displayed as-is. Moves to the quarterly KPI series.</t>
  </si>
  <si>
    <t xml:space="preserve">fteAtEntry</t>
  </si>
  <si>
    <t xml:space="preserve">companies[].fteAtEntry</t>
  </si>
  <si>
    <t xml:space="preserve">Derived as the FTE reading nearest first investment date once the series exists. Manual baseline needed for companies predating Visible adoption.</t>
  </si>
  <si>
    <t xml:space="preserve">womenCSuite</t>
  </si>
  <si>
    <t xml:space="preserve">companies[].womenCSuite</t>
  </si>
  <si>
    <t xml:space="preserve">&lt;= cSuiteSize</t>
  </si>
  <si>
    <t xml:space="preserve">women_csuite</t>
  </si>
  <si>
    <t xml:space="preserve">RESOLVED (O-4): NOT collected by Visible today. Being added to the quarterly request (action A-1). NULL until then. CRITICAL: NULL must not render as zero - the tile shows coverage (reported by n of m companies) and excludes non-reporters from the denominator. Decision D-5.</t>
  </si>
  <si>
    <t xml:space="preserve">cSuiteSize</t>
  </si>
  <si>
    <t xml:space="preserve">companies[].cSuiteSize</t>
  </si>
  <si>
    <t xml:space="preserve">csuite_size</t>
  </si>
  <si>
    <t xml:space="preserve">RESOLVED (O-4): not collected today; being added to the Visible request (A-1). Denominator for the diversity KPI. NULL, not zero, until the series begins.</t>
  </si>
  <si>
    <t xml:space="preserve">board.seat</t>
  </si>
  <si>
    <t xml:space="preserve">companies[].board.seat</t>
  </si>
  <si>
    <t xml:space="preserve">Director|Observer|None</t>
  </si>
  <si>
    <t xml:space="preserve">board_seat</t>
  </si>
  <si>
    <t xml:space="preserve">seat_type</t>
  </si>
  <si>
    <t xml:space="preserve">board.holder</t>
  </si>
  <si>
    <t xml:space="preserve">companies[].board.holder</t>
  </si>
  <si>
    <t xml:space="preserve">holder_user_id</t>
  </si>
  <si>
    <t xml:space="preserve">Free text in MVP. Should FK to app_user once auth exists.</t>
  </si>
  <si>
    <t xml:space="preserve">board.nextMeeting</t>
  </si>
  <si>
    <t xml:space="preserve">companies[].board.nextMeeting</t>
  </si>
  <si>
    <t xml:space="preserve">next_meeting_date</t>
  </si>
  <si>
    <t xml:space="preserve">Candidate for Outlook/M365 calendar integration later.</t>
  </si>
  <si>
    <t xml:space="preserve">thresholds.minRunwayMo</t>
  </si>
  <si>
    <t xml:space="preserve">companies[].thresholds.minRunwayMo</t>
  </si>
  <si>
    <t xml:space="preserve">months</t>
  </si>
  <si>
    <t xml:space="preserve">company_threshold</t>
  </si>
  <si>
    <t xml:space="preserve">min_runway_months</t>
  </si>
  <si>
    <t xml:space="preserve">Drives dashboard alerts. Default 12.</t>
  </si>
  <si>
    <t xml:space="preserve">thresholds.maxBurnMult</t>
  </si>
  <si>
    <t xml:space="preserve">companies[].thresholds.maxBurnMult</t>
  </si>
  <si>
    <t xml:space="preserve">multiple</t>
  </si>
  <si>
    <t xml:space="preserve">max_burn_multiple</t>
  </si>
  <si>
    <t xml:space="preserve">Present in data but not currently used by healthAlerts().</t>
  </si>
  <si>
    <t xml:space="preserve">reservesAllocated</t>
  </si>
  <si>
    <t xml:space="preserve">companies[].reservesAllocated</t>
  </si>
  <si>
    <t xml:space="preserve">reserve_allocation</t>
  </si>
  <si>
    <t xml:space="preserve">allocated</t>
  </si>
  <si>
    <t xml:space="preserve">Editable in the Modeling tab. Needs an audit trail in production.</t>
  </si>
  <si>
    <t xml:space="preserve">reservesDeployed</t>
  </si>
  <si>
    <t xml:space="preserve">companies[].reservesDeployed</t>
  </si>
  <si>
    <t xml:space="preserve">Derive from follow-on transactions against the allocation.</t>
  </si>
  <si>
    <t xml:space="preserve">round</t>
  </si>
  <si>
    <t xml:space="preserve">companies[].rounds[] (parent)</t>
  </si>
  <si>
    <t xml:space="preserve">FK</t>
  </si>
  <si>
    <t xml:space="preserve">investment_round</t>
  </si>
  <si>
    <t xml:space="preserve">companies[].rounds[].date</t>
  </si>
  <si>
    <t xml:space="preserve">round_date</t>
  </si>
  <si>
    <t xml:space="preserve">From the transaction registry once built (ADR-011). Interim: Excel bulk upload from Finance.</t>
  </si>
  <si>
    <t xml:space="preserve">label</t>
  </si>
  <si>
    <t xml:space="preserve">companies[].rounds[].label</t>
  </si>
  <si>
    <t xml:space="preserve">Seed, Series A...</t>
  </si>
  <si>
    <t xml:space="preserve">companies[].rounds[].instrument</t>
  </si>
  <si>
    <t xml:space="preserve">instrument_id</t>
  </si>
  <si>
    <t xml:space="preserve">companies[].rounds[].invested</t>
  </si>
  <si>
    <t xml:space="preserve">Should roll up from transaction rows tagged to the round, not be keyed separately.</t>
  </si>
  <si>
    <t xml:space="preserve">roundTotal</t>
  </si>
  <si>
    <t xml:space="preserve">companies[].rounds[].roundTotal</t>
  </si>
  <si>
    <t xml:space="preserve">&gt;= invested</t>
  </si>
  <si>
    <t xml:space="preserve">round_total</t>
  </si>
  <si>
    <t xml:space="preserve">RESOLVED (Q7): entered by the deal lead at close. NULL = excluded from leverage, never imputed. Coverage monitored via v_mandate_completeness. Historical rounds will have unrecoverable gaps (O-6).</t>
  </si>
  <si>
    <t xml:space="preserve">nbOther</t>
  </si>
  <si>
    <t xml:space="preserve">companies[].rounds[].nbOther</t>
  </si>
  <si>
    <t xml:space="preserve">&lt;= roundTotal - invested</t>
  </si>
  <si>
    <t xml:space="preserve">nb_other</t>
  </si>
  <si>
    <t xml:space="preserve">RESOLVED (Q7): entered by the deal lead at close, per co-investor with an NB flag, so LP capital-to-direct is derived rather than hand-kept.</t>
  </si>
  <si>
    <t xml:space="preserve">postMoney</t>
  </si>
  <si>
    <t xml:space="preserve">companies[].rounds[].postMoney</t>
  </si>
  <si>
    <t xml:space="preserve">nullable</t>
  </si>
  <si>
    <t xml:space="preserve">post_money</t>
  </si>
  <si>
    <t xml:space="preserve">Cap table</t>
  </si>
  <si>
    <t xml:space="preserve">Null for SAFE / convertible note by design.</t>
  </si>
  <si>
    <t xml:space="preserve">ownershipAfter</t>
  </si>
  <si>
    <t xml:space="preserve">companies[].rounds[].ownershipAfter</t>
  </si>
  <si>
    <t xml:space="preserve">%</t>
  </si>
  <si>
    <t xml:space="preserve">ownership_after_pct</t>
  </si>
  <si>
    <t xml:space="preserve">RESOLVED (Q7): entered at close from the closing cap table. SharePoint XLSX retained as the linked source document; platform holds the structured value.</t>
  </si>
  <si>
    <t xml:space="preserve">lead</t>
  </si>
  <si>
    <t xml:space="preserve">companies[].rounds[].lead</t>
  </si>
  <si>
    <t xml:space="preserve">'Us' or firm name</t>
  </si>
  <si>
    <t xml:space="preserve">lead_investor</t>
  </si>
  <si>
    <t xml:space="preserve">companies[].rounds[].note</t>
  </si>
  <si>
    <t xml:space="preserve">mark</t>
  </si>
  <si>
    <t xml:space="preserve">companies[].marks[] (parent)</t>
  </si>
  <si>
    <t xml:space="preserve">valuation_mark</t>
  </si>
  <si>
    <t xml:space="preserve">Finance - FMV exercise</t>
  </si>
  <si>
    <t xml:space="preserve">Semi-annual</t>
  </si>
  <si>
    <t xml:space="preserve">ADR-007</t>
  </si>
  <si>
    <t xml:space="preserve">companies[].marks[].date</t>
  </si>
  <si>
    <t xml:space="preserve">effective_date</t>
  </si>
  <si>
    <t xml:space="preserve">RESOLVED (O-1): 31 Jan and 31 Jul ARE the effective dates. Results reach the board two to three months later, so booked_at trails effective_date. Board views carry a 'marks as at / booked' stamp; fund_nav_snapshot.frozen_at fixes issued figures so a re-run never restates a published number.</t>
  </si>
  <si>
    <t xml:space="preserve">companies[].marks[].fmv</t>
  </si>
  <si>
    <t xml:space="preserve">&gt;= 0</t>
  </si>
  <si>
    <t xml:space="preserve">Only source of company FMV. Effective 31 Jan / 31 Jul. Between cycles the latest final mark carries forward; unmarked companies sit at cost. RESOLVED (O-2): cadence unchanged by this platform, so the 31 Mar year end continues to be served by a 31 Jan mark carried forward two months - labelled, not altered. Decision D-3.</t>
  </si>
  <si>
    <t xml:space="preserve">method</t>
  </si>
  <si>
    <t xml:space="preserve">companies[].marks[].method</t>
  </si>
  <si>
    <t xml:space="preserve">Last round | Revenue multiple | Calibrated last round | Scenario-weighted | Write-off | Realized</t>
  </si>
  <si>
    <t xml:space="preserve">method_id</t>
  </si>
  <si>
    <t xml:space="preserve">Controlled list observed in demo data - confirm against your valuation policy.</t>
  </si>
  <si>
    <t xml:space="preserve">by</t>
  </si>
  <si>
    <t xml:space="preserve">companies[].marks[].by</t>
  </si>
  <si>
    <t xml:space="preserve">prepared_by</t>
  </si>
  <si>
    <t xml:space="preserve">RESOLVED (Q8): the Director of Finance enters the mark, and entry IS the sign-off. prepared_by is set from the authenticated Finance user; no separate approval step. supersedes_id preserves any later restatement.</t>
  </si>
  <si>
    <t xml:space="preserve">rationale</t>
  </si>
  <si>
    <t xml:space="preserve">companies[].marks[].rationale</t>
  </si>
  <si>
    <t xml:space="preserve">The audit narrative. Highest-value field in the model for board scrutiny.</t>
  </si>
  <si>
    <t xml:space="preserve">kpi</t>
  </si>
  <si>
    <t xml:space="preserve">companies[].kpis[] (parent)</t>
  </si>
  <si>
    <t xml:space="preserve">period</t>
  </si>
  <si>
    <t xml:space="preserve">companies[].kpis[].period</t>
  </si>
  <si>
    <t xml:space="preserve">RESOLVED (Q1): Visible labels CALENDAR quarters - the 5 Aug 2026 submission is Q2 2026 = Apr-Jun. Fiscal year starts 1 Apr, so that same period is FY2026-27 Q1. Stored as period_start / period_end dates; both labels derived.</t>
  </si>
  <si>
    <t xml:space="preserve">revenue</t>
  </si>
  <si>
    <t xml:space="preserve">companies[].kpis[].revenue</t>
  </si>
  <si>
    <t xml:space="preserve">$M run-rate</t>
  </si>
  <si>
    <t xml:space="preserve">RESOLVED (O-5 / D-2): Visible supplies the PAST QUARTER'S ACTUAL revenue. Stored and displayed AS REPORTED - no annualisation. Label moves from run-rate to quarterly revenue in the tile, memo prefill and guide. Note the aggregate figure is ~1/4 of the old run-rate presentation, and same-store QoQ now carries seasonality (phase-2 review).</t>
  </si>
  <si>
    <t xml:space="preserve">burn</t>
  </si>
  <si>
    <t xml:space="preserve">companies[].kpis[].burn</t>
  </si>
  <si>
    <t xml:space="preserve">$M / month</t>
  </si>
  <si>
    <t xml:space="preserve">negative = CF positive</t>
  </si>
  <si>
    <t xml:space="preserve">monthly_burn</t>
  </si>
  <si>
    <t xml:space="preserve">Monthly, not quarterly. Negative renders as 'cash-flow positive'.</t>
  </si>
  <si>
    <t xml:space="preserve">cash</t>
  </si>
  <si>
    <t xml:space="preserve">companies[].kpis[].cash</t>
  </si>
  <si>
    <t xml:space="preserve">cash_balance</t>
  </si>
  <si>
    <t xml:space="preserve">runwayMo</t>
  </si>
  <si>
    <t xml:space="preserve">companies[].kpis[].runwayMo</t>
  </si>
  <si>
    <t xml:space="preserve">capped at 99</t>
  </si>
  <si>
    <t xml:space="preserve">cash / burn. Derive rather than accept a reported value, so it is consistent across companies.</t>
  </si>
  <si>
    <t xml:space="preserve">milestone</t>
  </si>
  <si>
    <t xml:space="preserve">title</t>
  </si>
  <si>
    <t xml:space="preserve">companies[].milestones[].title</t>
  </si>
  <si>
    <t xml:space="preserve">company_milestone</t>
  </si>
  <si>
    <t xml:space="preserve">due</t>
  </si>
  <si>
    <t xml:space="preserve">companies[].milestones[].due</t>
  </si>
  <si>
    <t xml:space="preserve">due_date</t>
  </si>
  <si>
    <t xml:space="preserve">status</t>
  </si>
  <si>
    <t xml:space="preserve">companies[].milestones[].status</t>
  </si>
  <si>
    <t xml:space="preserve">on-track|at-risk|pending</t>
  </si>
  <si>
    <t xml:space="preserve">covenant</t>
  </si>
  <si>
    <t xml:space="preserve">companies[].covenants[].text</t>
  </si>
  <si>
    <t xml:space="preserve">company_covenant</t>
  </si>
  <si>
    <t xml:space="preserve">covenant_text</t>
  </si>
  <si>
    <t xml:space="preserve">From the investment documents.</t>
  </si>
  <si>
    <t xml:space="preserve">companies[].covenants[].status</t>
  </si>
  <si>
    <t xml:space="preserve">compliant|watch|breach</t>
  </si>
  <si>
    <t xml:space="preserve">Matched by regex in healthAlerts() - make it a real enum.</t>
  </si>
  <si>
    <t xml:space="preserve">govFunding</t>
  </si>
  <si>
    <t xml:space="preserve">program</t>
  </si>
  <si>
    <t xml:space="preserve">companies[].govFunding.program</t>
  </si>
  <si>
    <t xml:space="preserve">nullable object</t>
  </si>
  <si>
    <t xml:space="preserve">company_gov_funding</t>
  </si>
  <si>
    <t xml:space="preserve">program_name</t>
  </si>
  <si>
    <t xml:space="preserve">e.g. ACOA, NRC IRAP, provincial programs.</t>
  </si>
  <si>
    <t xml:space="preserve">companies[].govFunding.amount</t>
  </si>
  <si>
    <t xml:space="preserve">conditions</t>
  </si>
  <si>
    <t xml:space="preserve">companies[].govFunding.conditions</t>
  </si>
  <si>
    <t xml:space="preserve">companies[].govFunding.status</t>
  </si>
  <si>
    <t xml:space="preserve">active|conditions pending|at risk</t>
  </si>
  <si>
    <t xml:space="preserve">Regex-matched for alerts - make it a real enum.</t>
  </si>
  <si>
    <t xml:space="preserve">task</t>
  </si>
  <si>
    <t xml:space="preserve">companies[].tasks[].title</t>
  </si>
  <si>
    <t xml:space="preserve">company_task</t>
  </si>
  <si>
    <t xml:space="preserve">Ad hoc</t>
  </si>
  <si>
    <t xml:space="preserve">companies[].tasks[].due</t>
  </si>
  <si>
    <t xml:space="preserve">done</t>
  </si>
  <si>
    <t xml:space="preserve">companies[].tasks[].done</t>
  </si>
  <si>
    <t xml:space="preserve">true/false</t>
  </si>
  <si>
    <t xml:space="preserve">is_done</t>
  </si>
  <si>
    <t xml:space="preserve">Consider whether tasks belong here or in Affinity/Planner.</t>
  </si>
  <si>
    <t xml:space="preserve">fundInvestment</t>
  </si>
  <si>
    <t xml:space="preserve">fundInvestments[].id</t>
  </si>
  <si>
    <t xml:space="preserve">Fnnn</t>
  </si>
  <si>
    <t xml:space="preserve">fund_investment</t>
  </si>
  <si>
    <t xml:space="preserve">fund_investment_id</t>
  </si>
  <si>
    <t xml:space="preserve">fundInvestments[].name</t>
  </si>
  <si>
    <t xml:space="preserve">manager</t>
  </si>
  <si>
    <t xml:space="preserve">fundInvestments[].manager</t>
  </si>
  <si>
    <t xml:space="preserve">manager_name</t>
  </si>
  <si>
    <t xml:space="preserve">Consider a separate gp_firm table if you hold multiple funds per manager.</t>
  </si>
  <si>
    <t xml:space="preserve">strategy</t>
  </si>
  <si>
    <t xml:space="preserve">fundInvestments[].strategy</t>
  </si>
  <si>
    <t xml:space="preserve">free text today</t>
  </si>
  <si>
    <t xml:space="preserve">Drives the NAV-by-strategy donut. Needs a controlled list.</t>
  </si>
  <si>
    <t xml:space="preserve">fundInvestments[].vintage</t>
  </si>
  <si>
    <t xml:space="preserve">fundInvestments[].committed</t>
  </si>
  <si>
    <t xml:space="preserve">From the LPA / subscription agreement.</t>
  </si>
  <si>
    <t xml:space="preserve">fundInvestments[].called</t>
  </si>
  <si>
    <t xml:space="preserve">&lt;= committed</t>
  </si>
  <si>
    <t xml:space="preserve">Should be SUM of negative cashflows. MVP stores it separately from cashflows[] - same duplication problem.</t>
  </si>
  <si>
    <t xml:space="preserve">distributions</t>
  </si>
  <si>
    <t xml:space="preserve">fundInvestments[].distributions</t>
  </si>
  <si>
    <t xml:space="preserve">Should be SUM of positive cashflows.</t>
  </si>
  <si>
    <t xml:space="preserve">fundInvestments[].nav</t>
  </si>
  <si>
    <t xml:space="preserve">fund_investment_nav</t>
  </si>
  <si>
    <t xml:space="preserve">GP statement</t>
  </si>
  <si>
    <t xml:space="preserve">From the GP capital account statement, entered manually into fund_investment_nav (dated). statement_received_at tracks the reporting lag so staleness is visible.</t>
  </si>
  <si>
    <t xml:space="preserve">coInvestRights</t>
  </si>
  <si>
    <t xml:space="preserve">fundInvestments[].coInvestRights</t>
  </si>
  <si>
    <t xml:space="preserve">co_invest_rights</t>
  </si>
  <si>
    <t xml:space="preserve">From the side letter / LPA.</t>
  </si>
  <si>
    <t xml:space="preserve">coInvestsDone</t>
  </si>
  <si>
    <t xml:space="preserve">fundInvestments[].coInvestsDone</t>
  </si>
  <si>
    <t xml:space="preserve">Count co-investments executed with this GP. Derive by tagging rounds with a co-investor FK.</t>
  </si>
  <si>
    <t xml:space="preserve">referrals</t>
  </si>
  <si>
    <t xml:space="preserve">fundInvestments[].referrals</t>
  </si>
  <si>
    <t xml:space="preserve">Count pipeline deals sourced from this fund. Derive from pipeline_deal.referred_by_fund_id.</t>
  </si>
  <si>
    <t xml:space="preserve">capitalToDirect</t>
  </si>
  <si>
    <t xml:space="preserve">fundInvestments[].capitalToDirect</t>
  </si>
  <si>
    <t xml:space="preserve">MANDATE KPI. Dollars this fund + its network put into our direct portfolio. Derive from round co-investor tags rather than hand-entering.</t>
  </si>
  <si>
    <t xml:space="preserve">womenSeniorGP</t>
  </si>
  <si>
    <t xml:space="preserve">fundInvestments[].womenSeniorGP</t>
  </si>
  <si>
    <t xml:space="preserve">women_senior_gp</t>
  </si>
  <si>
    <t xml:space="preserve">Diversity KPI. Boolean today - consider a count/total like the C-suite metric.</t>
  </si>
  <si>
    <t xml:space="preserve">nextCallEst</t>
  </si>
  <si>
    <t xml:space="preserve">fundInvestments[].nextCallEst</t>
  </si>
  <si>
    <t xml:space="preserve">next_call_est</t>
  </si>
  <si>
    <t xml:space="preserve">GP notice</t>
  </si>
  <si>
    <t xml:space="preserve">Drives commitment-pacing view.</t>
  </si>
  <si>
    <t xml:space="preserve">agm</t>
  </si>
  <si>
    <t xml:space="preserve">fundInvestments[].agm</t>
  </si>
  <si>
    <t xml:space="preserve">agm_date</t>
  </si>
  <si>
    <t xml:space="preserve">contact</t>
  </si>
  <si>
    <t xml:space="preserve">fundInvestments[].contact</t>
  </si>
  <si>
    <t xml:space="preserve">ir_contact</t>
  </si>
  <si>
    <t xml:space="preserve">Could come from Affinity if GP contacts are tracked there.</t>
  </si>
  <si>
    <t xml:space="preserve">fundInvestments[].rationale</t>
  </si>
  <si>
    <t xml:space="preserve">The 'why we are in this fund' record.</t>
  </si>
  <si>
    <t xml:space="preserve">fundCashflow</t>
  </si>
  <si>
    <t xml:space="preserve">fundInvestments[].cashflows[].date</t>
  </si>
  <si>
    <t xml:space="preserve">RESOLVED (Q4): single transaction table is authoritative. Capital call / distribution notices.</t>
  </si>
  <si>
    <t xml:space="preserve">fundInvestments[].cashflows[].amount</t>
  </si>
  <si>
    <t xml:space="preserve">neg = call, pos = distribution</t>
  </si>
  <si>
    <t xml:space="preserve">RESOLVED (Q4): single transaction table is authoritative. Sign convention is load-bearing for fiIrr(). Document it explicitly in the registry.</t>
  </si>
  <si>
    <t xml:space="preserve">pipelineDeal</t>
  </si>
  <si>
    <t xml:space="preserve">pipeline[].id</t>
  </si>
  <si>
    <t xml:space="preserve">Pnnn / Annn</t>
  </si>
  <si>
    <t xml:space="preserve">pipeline_deal</t>
  </si>
  <si>
    <t xml:space="preserve">deal_id</t>
  </si>
  <si>
    <t xml:space="preserve">Store affinity_opportunity_id as the natural key; keep Pnnn as display id.</t>
  </si>
  <si>
    <t xml:space="preserve">pipeline[].name</t>
  </si>
  <si>
    <t xml:space="preserve">pipeline[].sector</t>
  </si>
  <si>
    <t xml:space="preserve">SECTORS</t>
  </si>
  <si>
    <t xml:space="preserve">funnel</t>
  </si>
  <si>
    <t xml:space="preserve">pipeline[].funnel</t>
  </si>
  <si>
    <t xml:space="preserve">Sourced|Screening|Diligence|IC Review|Term Sheet|Closed|Passed</t>
  </si>
  <si>
    <t xml:space="preserve">funnel_stage_id</t>
  </si>
  <si>
    <t xml:space="preserve">MVP maps Affinity status by keyword regex. Replace with an explicit mapping table you can edit.</t>
  </si>
  <si>
    <t xml:space="preserve">pipeline[].source</t>
  </si>
  <si>
    <t xml:space="preserve">Free text in MVP demo data; controlled list on companies. Align the two.</t>
  </si>
  <si>
    <t xml:space="preserve">checkSize</t>
  </si>
  <si>
    <t xml:space="preserve">pipeline[].checkSize</t>
  </si>
  <si>
    <t xml:space="preserve">check_size</t>
  </si>
  <si>
    <t xml:space="preserve">Affinity importer divides by 1e6 if value &gt; 100000 - a silent unit heuristic that must be replaced with an explicit unit declaration.</t>
  </si>
  <si>
    <t xml:space="preserve">valuation</t>
  </si>
  <si>
    <t xml:space="preserve">pipeline[].valuation</t>
  </si>
  <si>
    <t xml:space="preserve">Proposed post-money.</t>
  </si>
  <si>
    <t xml:space="preserve">owner</t>
  </si>
  <si>
    <t xml:space="preserve">pipeline[].owner</t>
  </si>
  <si>
    <t xml:space="preserve">owner_user_id</t>
  </si>
  <si>
    <t xml:space="preserve">Should FK to app_user.</t>
  </si>
  <si>
    <t xml:space="preserve">nextStep</t>
  </si>
  <si>
    <t xml:space="preserve">pipeline[].nextStep</t>
  </si>
  <si>
    <t xml:space="preserve">next_step</t>
  </si>
  <si>
    <t xml:space="preserve">added</t>
  </si>
  <si>
    <t xml:space="preserve">pipeline[].added</t>
  </si>
  <si>
    <t xml:space="preserve">date_added</t>
  </si>
  <si>
    <t xml:space="preserve">closedDate</t>
  </si>
  <si>
    <t xml:space="preserve">pipeline[].closedDate</t>
  </si>
  <si>
    <t xml:space="preserve">optional</t>
  </si>
  <si>
    <t xml:space="preserve">closed_date</t>
  </si>
  <si>
    <t xml:space="preserve">Feeds the annual platform target tracker.</t>
  </si>
  <si>
    <t xml:space="preserve">dealGate</t>
  </si>
  <si>
    <t xml:space="preserve">pipeline[].gates[].name</t>
  </si>
  <si>
    <t xml:space="preserve">9 default gates</t>
  </si>
  <si>
    <t xml:space="preserve">deal_gate</t>
  </si>
  <si>
    <t xml:space="preserve">gate_name</t>
  </si>
  <si>
    <t xml:space="preserve">Diligence checklist. Platform-owned, not in Affinity.</t>
  </si>
  <si>
    <t xml:space="preserve">pipeline[].gates[].status</t>
  </si>
  <si>
    <t xml:space="preserve">pending|in-progress|passed|failed</t>
  </si>
  <si>
    <t xml:space="preserve">Editable dropdown. Needs who/when audit in production.</t>
  </si>
  <si>
    <t xml:space="preserve">termSheet</t>
  </si>
  <si>
    <t xml:space="preserve">security</t>
  </si>
  <si>
    <t xml:space="preserve">pipeline[].termSheet.security</t>
  </si>
  <si>
    <t xml:space="preserve">term_sheet</t>
  </si>
  <si>
    <t xml:space="preserve">Per deal</t>
  </si>
  <si>
    <t xml:space="preserve">preMoney</t>
  </si>
  <si>
    <t xml:space="preserve">pipeline[].termSheet.preMoney</t>
  </si>
  <si>
    <t xml:space="preserve">pre_money</t>
  </si>
  <si>
    <t xml:space="preserve">pipeline[].termSheet.postMoney</t>
  </si>
  <si>
    <t xml:space="preserve">investment</t>
  </si>
  <si>
    <t xml:space="preserve">pipeline[].termSheet.investment</t>
  </si>
  <si>
    <t xml:space="preserve">ownership</t>
  </si>
  <si>
    <t xml:space="preserve">pipeline[].termSheet.ownership</t>
  </si>
  <si>
    <t xml:space="preserve">liquidation</t>
  </si>
  <si>
    <t xml:space="preserve">pipeline[].termSheet.liquidation</t>
  </si>
  <si>
    <t xml:space="preserve">liquidation_pref</t>
  </si>
  <si>
    <t xml:space="preserve">Waterfall model assumes 1x non-participating regardless - see modelling note.</t>
  </si>
  <si>
    <t xml:space="preserve">antiDilution</t>
  </si>
  <si>
    <t xml:space="preserve">pipeline[].termSheet.antiDilution</t>
  </si>
  <si>
    <t xml:space="preserve">anti_dilution</t>
  </si>
  <si>
    <t xml:space="preserve">board</t>
  </si>
  <si>
    <t xml:space="preserve">pipeline[].termSheet.board</t>
  </si>
  <si>
    <t xml:space="preserve">board_composition</t>
  </si>
  <si>
    <t xml:space="preserve">pipeline[].termSheet.proRata</t>
  </si>
  <si>
    <t xml:space="preserve">pro_rata_terms</t>
  </si>
  <si>
    <t xml:space="preserve">dividends</t>
  </si>
  <si>
    <t xml:space="preserve">pipeline[].termSheet.dividends</t>
  </si>
  <si>
    <t xml:space="preserve">optionPool</t>
  </si>
  <si>
    <t xml:space="preserve">pipeline[].termSheet.optionPool</t>
  </si>
  <si>
    <t xml:space="preserve">option_pool</t>
  </si>
  <si>
    <t xml:space="preserve">founderVesting</t>
  </si>
  <si>
    <t xml:space="preserve">pipeline[].termSheet.founderVesting</t>
  </si>
  <si>
    <t xml:space="preserve">founder_vesting</t>
  </si>
  <si>
    <t xml:space="preserve">memo</t>
  </si>
  <si>
    <t xml:space="preserve">&lt;entity id&gt;</t>
  </si>
  <si>
    <t xml:space="preserve">memos[&lt;id&gt;]</t>
  </si>
  <si>
    <t xml:space="preserve">object</t>
  </si>
  <si>
    <t xml:space="preserve">keyed by company or deal id</t>
  </si>
  <si>
    <t xml:space="preserve">subject_id</t>
  </si>
  <si>
    <t xml:space="preserve">Per memo</t>
  </si>
  <si>
    <t xml:space="preserve">ADR-001</t>
  </si>
  <si>
    <t xml:space="preserve">MVP keys memos by entity id, so one memo per entity. Production needs many memos per entity, versioned.</t>
  </si>
  <si>
    <t xml:space="preserve">exec</t>
  </si>
  <si>
    <t xml:space="preserve">memos[&lt;id&gt;].exec</t>
  </si>
  <si>
    <t xml:space="preserve">markdown</t>
  </si>
  <si>
    <t xml:space="preserve">auto-prefilled</t>
  </si>
  <si>
    <t xml:space="preserve">memo_section</t>
  </si>
  <si>
    <t xml:space="preserve">body</t>
  </si>
  <si>
    <t xml:space="preserve">Prefilled from company/deal data, then editable.</t>
  </si>
  <si>
    <t xml:space="preserve">thesis</t>
  </si>
  <si>
    <t xml:space="preserve">memos[&lt;id&gt;].thesis</t>
  </si>
  <si>
    <t xml:space="preserve">Author-written.</t>
  </si>
  <si>
    <t xml:space="preserve">market</t>
  </si>
  <si>
    <t xml:space="preserve">memos[&lt;id&gt;].market</t>
  </si>
  <si>
    <t xml:space="preserve">team</t>
  </si>
  <si>
    <t xml:space="preserve">memos[&lt;id&gt;].team</t>
  </si>
  <si>
    <t xml:space="preserve">topgrading</t>
  </si>
  <si>
    <t xml:space="preserve">memos[&lt;id&gt;].topgrading</t>
  </si>
  <si>
    <t xml:space="preserve">Author-written, template prefilled.</t>
  </si>
  <si>
    <t xml:space="preserve">product</t>
  </si>
  <si>
    <t xml:space="preserve">memos[&lt;id&gt;].product</t>
  </si>
  <si>
    <t xml:space="preserve">traction</t>
  </si>
  <si>
    <t xml:space="preserve">memos[&lt;id&gt;].traction</t>
  </si>
  <si>
    <t xml:space="preserve">Prefilled from latest KPI row.</t>
  </si>
  <si>
    <t xml:space="preserve">terms</t>
  </si>
  <si>
    <t xml:space="preserve">memos[&lt;id&gt;].terms</t>
  </si>
  <si>
    <t xml:space="preserve">Prefilled from rounds or term sheet.</t>
  </si>
  <si>
    <t xml:space="preserve">captable</t>
  </si>
  <si>
    <t xml:space="preserve">memos[&lt;id&gt;].captable</t>
  </si>
  <si>
    <t xml:space="preserve">Prefilled from ownership + reserves + board.</t>
  </si>
  <si>
    <t xml:space="preserve">risks</t>
  </si>
  <si>
    <t xml:space="preserve">memos[&lt;id&gt;].risks</t>
  </si>
  <si>
    <t xml:space="preserve">Prefilled from riskFlags + covenants + govFunding.</t>
  </si>
  <si>
    <t xml:space="preserve">returns</t>
  </si>
  <si>
    <t xml:space="preserve">memos[&lt;id&gt;].returns</t>
  </si>
  <si>
    <t xml:space="preserve">Prefilled skeleton; scenario grid completed by author.</t>
  </si>
  <si>
    <t xml:space="preserve">reco</t>
  </si>
  <si>
    <t xml:space="preserve">memos[&lt;id&gt;].reco</t>
  </si>
  <si>
    <t xml:space="preserve">Author-written. Candidate for a structured decision field (Invest/Pass/Hold) alongside the prose.</t>
  </si>
  <si>
    <t xml:space="preserve">meta</t>
  </si>
  <si>
    <t xml:space="preserve">schemaVersion</t>
  </si>
  <si>
    <t xml:space="preserve">meta.schemaVersion</t>
  </si>
  <si>
    <t xml:space="preserve">int</t>
  </si>
  <si>
    <t xml:space="preserve">currently 1</t>
  </si>
  <si>
    <t xml:space="preserve">Keep and increment. This is the contract version Daniel's imports key off.</t>
  </si>
  <si>
    <t xml:space="preserve">savedAt</t>
  </si>
  <si>
    <t xml:space="preserve">meta.savedAt</t>
  </si>
  <si>
    <t xml:space="preserve">datetime</t>
  </si>
  <si>
    <t xml:space="preserve">ISO 8601</t>
  </si>
  <si>
    <t xml:space="preserve">Export timestamp.</t>
  </si>
  <si>
    <t xml:space="preserve">demo</t>
  </si>
  <si>
    <t xml:space="preserve">meta.demo</t>
  </si>
  <si>
    <t xml:space="preserve">Flags demo vs real data. Retain in exports.</t>
  </si>
  <si>
    <t xml:space="preserve">Table</t>
  </si>
  <si>
    <t xml:space="preserve">Column</t>
  </si>
  <si>
    <t xml:space="preserve">Postgres Type</t>
  </si>
  <si>
    <t xml:space="preserve">Nullable</t>
  </si>
  <si>
    <t xml:space="preserve">Key</t>
  </si>
  <si>
    <t xml:space="preserve">Description</t>
  </si>
  <si>
    <t xml:space="preserve">NO</t>
  </si>
  <si>
    <t xml:space="preserve">PK</t>
  </si>
  <si>
    <t xml:space="preserve">Internal id, Cnnn format preserved for export compatibility</t>
  </si>
  <si>
    <t xml:space="preserve">affinity_org_id</t>
  </si>
  <si>
    <t xml:space="preserve">YES</t>
  </si>
  <si>
    <t xml:space="preserve">UQ</t>
  </si>
  <si>
    <t xml:space="preserve">Entity-resolution key to Affinity</t>
  </si>
  <si>
    <t xml:space="preserve">visible_company_id</t>
  </si>
  <si>
    <t xml:space="preserve">Entity-resolution key to Visible.vc</t>
  </si>
  <si>
    <t xml:space="preserve">Legal / trading name</t>
  </si>
  <si>
    <t xml:space="preserve">FK ref_sector</t>
  </si>
  <si>
    <t xml:space="preserve">FK ref_source_channel</t>
  </si>
  <si>
    <t xml:space="preserve">hq_city</t>
  </si>
  <si>
    <t xml:space="preserve">hq_region</t>
  </si>
  <si>
    <t xml:space="preserve">Province / state - drives the NB mandate split</t>
  </si>
  <si>
    <t xml:space="preserve">hq_country</t>
  </si>
  <si>
    <t xml:space="preserve">Derived from first investment; materialised for convenience</t>
  </si>
  <si>
    <t xml:space="preserve">created_at</t>
  </si>
  <si>
    <t xml:space="preserve">timestamptz</t>
  </si>
  <si>
    <t xml:space="preserve">created_by</t>
  </si>
  <si>
    <t xml:space="preserve">uuid</t>
  </si>
  <si>
    <t xml:space="preserve">FK app_user</t>
  </si>
  <si>
    <t xml:space="preserve">company_state_id</t>
  </si>
  <si>
    <t xml:space="preserve">bigint</t>
  </si>
  <si>
    <t xml:space="preserve">Dated attribute history</t>
  </si>
  <si>
    <t xml:space="preserve">FK company</t>
  </si>
  <si>
    <t xml:space="preserve">effective_from</t>
  </si>
  <si>
    <t xml:space="preserve">effective_to</t>
  </si>
  <si>
    <t xml:space="preserve">NULL = current</t>
  </si>
  <si>
    <t xml:space="preserve">set_by</t>
  </si>
  <si>
    <t xml:space="preserve">transaction_id</t>
  </si>
  <si>
    <t xml:space="preserve">THE registry. Every dollar movement, once.</t>
  </si>
  <si>
    <t xml:space="preserve">Effective date</t>
  </si>
  <si>
    <t xml:space="preserve">booked_at</t>
  </si>
  <si>
    <t xml:space="preserve">When Finance entered it - enables as-of restatement</t>
  </si>
  <si>
    <t xml:space="preserve">txn_type</t>
  </si>
  <si>
    <t xml:space="preserve">investment | follow_on | realization | capital_call | distribution | fee | write_off</t>
  </si>
  <si>
    <t xml:space="preserve">Exactly one of company_id / fund_investment_id</t>
  </si>
  <si>
    <t xml:space="preserve">FK fund_investment</t>
  </si>
  <si>
    <t xml:space="preserve">investment_round_id</t>
  </si>
  <si>
    <t xml:space="preserve">FK investment_round</t>
  </si>
  <si>
    <t xml:space="preserve">Ties a cheque to a round</t>
  </si>
  <si>
    <t xml:space="preserve">numeric(18,2)</t>
  </si>
  <si>
    <t xml:space="preserve">Stored in base units, NOT $M. Display layer divides.</t>
  </si>
  <si>
    <t xml:space="preserve">char(3)</t>
  </si>
  <si>
    <t xml:space="preserve">CAD | USD</t>
  </si>
  <si>
    <t xml:space="preserve">fx_rate_to_cad</t>
  </si>
  <si>
    <t xml:space="preserve">numeric(18,8)</t>
  </si>
  <si>
    <t xml:space="preserve">Rate at txn_date; null if already CAD</t>
  </si>
  <si>
    <t xml:space="preserve">source_document</t>
  </si>
  <si>
    <t xml:space="preserve">Link to SharePoint doc</t>
  </si>
  <si>
    <t xml:space="preserve">entered_by</t>
  </si>
  <si>
    <t xml:space="preserve">Seed, Series A, ...</t>
  </si>
  <si>
    <t xml:space="preserve">FK ref_instrument</t>
  </si>
  <si>
    <t xml:space="preserve">MANDATE: leverage. NULL means excluded, never imputed.</t>
  </si>
  <si>
    <t xml:space="preserve">MANDATE: NB co-investment</t>
  </si>
  <si>
    <t xml:space="preserve">NULL for SAFE / note</t>
  </si>
  <si>
    <t xml:space="preserve">numeric(7,4)</t>
  </si>
  <si>
    <t xml:space="preserve">round_coinvestor</t>
  </si>
  <si>
    <t xml:space="preserve">round_coinvestor_id</t>
  </si>
  <si>
    <t xml:space="preserve">Enables capitalToDirect and coInvestsDone to be derived</t>
  </si>
  <si>
    <t xml:space="preserve">investor_name</t>
  </si>
  <si>
    <t xml:space="preserve">Set when the co-investor is one of our LP positions</t>
  </si>
  <si>
    <t xml:space="preserve">is_nb_based</t>
  </si>
  <si>
    <t xml:space="preserve">Drives the NB vs outside capital split</t>
  </si>
  <si>
    <t xml:space="preserve">valuation_mark_id</t>
  </si>
  <si>
    <t xml:space="preserve">Semi-annual FMV exercise date</t>
  </si>
  <si>
    <t xml:space="preserve">Separates restatement from original</t>
  </si>
  <si>
    <t xml:space="preserve">FK ref_valuation_method</t>
  </si>
  <si>
    <t xml:space="preserve">Required, not optional - this is the audit narrative</t>
  </si>
  <si>
    <t xml:space="preserve">approved_by</t>
  </si>
  <si>
    <t xml:space="preserve">approved_at</t>
  </si>
  <si>
    <t xml:space="preserve">draft | final | superseded</t>
  </si>
  <si>
    <t xml:space="preserve">supersedes_id</t>
  </si>
  <si>
    <t xml:space="preserve">FK valuation_mark</t>
  </si>
  <si>
    <t xml:space="preserve">Restatement chain</t>
  </si>
  <si>
    <t xml:space="preserve">company_kpi_id</t>
  </si>
  <si>
    <t xml:space="preserve">One row per company per reporting period</t>
  </si>
  <si>
    <t xml:space="preserve">FY-Qn</t>
  </si>
  <si>
    <t xml:space="preserve">period_start</t>
  </si>
  <si>
    <t xml:space="preserve">period_end</t>
  </si>
  <si>
    <t xml:space="preserve">MANDATE: jobs</t>
  </si>
  <si>
    <t xml:space="preserve">MANDATE: NB jobs</t>
  </si>
  <si>
    <t xml:space="preserve">MANDATE: diversity</t>
  </si>
  <si>
    <t xml:space="preserve">source_system</t>
  </si>
  <si>
    <t xml:space="preserve">visible | manual</t>
  </si>
  <si>
    <t xml:space="preserve">reported_at</t>
  </si>
  <si>
    <t xml:space="preserve">company_ownership_id</t>
  </si>
  <si>
    <t xml:space="preserve">Dated ownership, so MOIC and waterfall are as-of correct</t>
  </si>
  <si>
    <t xml:space="preserve">as_of_date</t>
  </si>
  <si>
    <t xml:space="preserve">Link to the SharePoint cap table version used</t>
  </si>
  <si>
    <t xml:space="preserve">LP positions - never blended with direct</t>
  </si>
  <si>
    <t xml:space="preserve">fund_investment_nav_id</t>
  </si>
  <si>
    <t xml:space="preserve">Dated NAV from GP capital account statements</t>
  </si>
  <si>
    <t xml:space="preserve">statement_received_at</t>
  </si>
  <si>
    <t xml:space="preserve">GP statements lag - track the lag</t>
  </si>
  <si>
    <t xml:space="preserve">fund_id</t>
  </si>
  <si>
    <t xml:space="preserve">One row today; table allows future vehicles</t>
  </si>
  <si>
    <t xml:space="preserve">closed-end only</t>
  </si>
  <si>
    <t xml:space="preserve">numeric(6,3)</t>
  </si>
  <si>
    <t xml:space="preserve">fiscal_year_start_month</t>
  </si>
  <si>
    <t xml:space="preserve">4 = April. Drives every quarter label.</t>
  </si>
  <si>
    <t xml:space="preserve">fund_nav_snapshot_id</t>
  </si>
  <si>
    <t xml:space="preserve">Frozen reported NAV per period</t>
  </si>
  <si>
    <t xml:space="preserve">FK fund</t>
  </si>
  <si>
    <t xml:space="preserve">Fiscal quarter</t>
  </si>
  <si>
    <t xml:space="preserve">Computed from marks, then frozen</t>
  </si>
  <si>
    <t xml:space="preserve">frozen_at</t>
  </si>
  <si>
    <t xml:space="preserve">Set when the board report is issued</t>
  </si>
  <si>
    <t xml:space="preserve">Mirrored from Affinity, read-mostly</t>
  </si>
  <si>
    <t xml:space="preserve">affinity_opportunity_id</t>
  </si>
  <si>
    <t xml:space="preserve">FK ref_funnel_stage</t>
  </si>
  <si>
    <t xml:space="preserve">referred_by_fund_id</t>
  </si>
  <si>
    <t xml:space="preserve">Enables the LP referral scorecard to be derived</t>
  </si>
  <si>
    <t xml:space="preserve">converted_company_id</t>
  </si>
  <si>
    <t xml:space="preserve">Links a closed deal to the portfolio company it became</t>
  </si>
  <si>
    <t xml:space="preserve">synced_at</t>
  </si>
  <si>
    <t xml:space="preserve">Last Affinity sync</t>
  </si>
  <si>
    <t xml:space="preserve">deal_gate_id</t>
  </si>
  <si>
    <t xml:space="preserve">FK pipeline_deal</t>
  </si>
  <si>
    <t xml:space="preserve">sort_order</t>
  </si>
  <si>
    <t xml:space="preserve">pending | in-progress | passed | failed</t>
  </si>
  <si>
    <t xml:space="preserve">changed_by</t>
  </si>
  <si>
    <t xml:space="preserve">changed_at</t>
  </si>
  <si>
    <t xml:space="preserve">memo_id</t>
  </si>
  <si>
    <t xml:space="preserve">Many memos per entity, versioned</t>
  </si>
  <si>
    <t xml:space="preserve">subject_type</t>
  </si>
  <si>
    <t xml:space="preserve">company | deal</t>
  </si>
  <si>
    <t xml:space="preserve">version</t>
  </si>
  <si>
    <t xml:space="preserve">draft | circulated | final</t>
  </si>
  <si>
    <t xml:space="preserve">decision</t>
  </si>
  <si>
    <t xml:space="preserve">invest | pass | hold - structured alongside the prose</t>
  </si>
  <si>
    <t xml:space="preserve">author_id</t>
  </si>
  <si>
    <t xml:space="preserve">memo_section_id</t>
  </si>
  <si>
    <t xml:space="preserve">FK memo</t>
  </si>
  <si>
    <t xml:space="preserve">section_key</t>
  </si>
  <si>
    <t xml:space="preserve">exec | thesis | market | ... | reco</t>
  </si>
  <si>
    <t xml:space="preserve">Markdown</t>
  </si>
  <si>
    <t xml:space="preserve">is_autofilled</t>
  </si>
  <si>
    <t xml:space="preserve">Tracks which sections came from prefillMemo</t>
  </si>
  <si>
    <t xml:space="preserve">audit_log</t>
  </si>
  <si>
    <t xml:space="preserve">audit_log_id</t>
  </si>
  <si>
    <t xml:space="preserve">Every write to a financial or mandate field</t>
  </si>
  <si>
    <t xml:space="preserve">table_name</t>
  </si>
  <si>
    <t xml:space="preserve">record_id</t>
  </si>
  <si>
    <t xml:space="preserve">action</t>
  </si>
  <si>
    <t xml:space="preserve">insert | update | delete</t>
  </si>
  <si>
    <t xml:space="preserve">old_value</t>
  </si>
  <si>
    <t xml:space="preserve">jsonb</t>
  </si>
  <si>
    <t xml:space="preserve">new_value</t>
  </si>
  <si>
    <t xml:space="preserve">app_user</t>
  </si>
  <si>
    <t xml:space="preserve">user_id</t>
  </si>
  <si>
    <t xml:space="preserve">Mapped from Entra ID object id</t>
  </si>
  <si>
    <t xml:space="preserve">entra_object_id</t>
  </si>
  <si>
    <t xml:space="preserve">display_name</t>
  </si>
  <si>
    <t xml:space="preserve">email</t>
  </si>
  <si>
    <t xml:space="preserve">role</t>
  </si>
  <si>
    <t xml:space="preserve">vc | finance | leadership | board | admin</t>
  </si>
  <si>
    <t xml:space="preserve">is_active</t>
  </si>
  <si>
    <t xml:space="preserve">Status Today</t>
  </si>
  <si>
    <t xml:space="preserve">Entities / Fields It Feeds</t>
  </si>
  <si>
    <t xml:space="preserve">Ingestion Method</t>
  </si>
  <si>
    <t xml:space="preserve">Owner</t>
  </si>
  <si>
    <t xml:space="preserve">Live and disciplined</t>
  </si>
  <si>
    <t xml:space="preserve">Company identity, pipeline deals, funnel stage, owner, sector, sourcing channel, CEO, HQ, contacts</t>
  </si>
  <si>
    <t xml:space="preserve">REST API v2 (scheduled pull) - replaces the current CSV drop</t>
  </si>
  <si>
    <t xml:space="preserve">Nightly</t>
  </si>
  <si>
    <t xml:space="preserve">VC team</t>
  </si>
  <si>
    <t xml:space="preserve">SoR for identity and pipeline. Read-mostly into the platform; do not write back in phase 1. Store affinity ids for entity resolution.</t>
  </si>
  <si>
    <t xml:space="preserve">Quarterly company KPIs: revenue, burn, cash, FTE, NB FTE; candidate home for C-suite diversity</t>
  </si>
  <si>
    <t xml:space="preserve">API pull after each quarterly close</t>
  </si>
  <si>
    <t xml:space="preserve">SoR for company-reported metrics including jobs and diversity, which move into the quarterly KPI series. Reports on CALENDAR quarters. Definitions live in the request wording and are accepted as reported (ADR-010).</t>
  </si>
  <si>
    <t xml:space="preserve">To be built in-platform</t>
  </si>
  <si>
    <t xml:space="preserve">All dollar movements: investments, follow-ons, realizations, LP capital calls, LP distributions</t>
  </si>
  <si>
    <t xml:space="preserve">Phase 1: Excel bulk upload with a strict template. Phase 2: in-platform entry form for Finance.</t>
  </si>
  <si>
    <t xml:space="preserve">RESOLVED: the platform IS the registry (ADR-011). Phase 1 Excel bulk upload tagged by batch_id; phase 2 in-app Finance form. Same table either way, so the interim is not throwaway. Backfill since inception is the critical path (ADR-015).</t>
  </si>
  <si>
    <t xml:space="preserve">Live (semi-annual)</t>
  </si>
  <si>
    <t xml:space="preserve">Valuation marks: fmv, method, rationale, preparer, approver</t>
  </si>
  <si>
    <t xml:space="preserve">Phase 1: template upload. Phase 2: in-platform mark entry with sign-off workflow.</t>
  </si>
  <si>
    <t xml:space="preserve">Semi-annual (cutoffs end Jan / end Jul)</t>
  </si>
  <si>
    <t xml:space="preserve">Director of Finance enters the mark; entry is the sign-off (ADR-007). Carry-forward between cycles; unmarked companies held at cost. OPEN O-1: effective date vs data cutoff. OPEN O-2: 31 Mar year end is served by a 31 Jan mark carried forward two months.</t>
  </si>
  <si>
    <t xml:space="preserve">Superseded as SoR</t>
  </si>
  <si>
    <t xml:space="preserve">Ownership %, post-money, ownership after round, pro-rata rights</t>
  </si>
  <si>
    <t xml:space="preserve">Manual entry into the platform at round close, with a link to the source file</t>
  </si>
  <si>
    <t xml:space="preserve">VC team + Finance</t>
  </si>
  <si>
    <t xml:space="preserve">Platform becomes system of record via company_ownership (dated); the SharePoint file is retained as the linked source document. Entered by the deal lead at close (ADR-012).</t>
  </si>
  <si>
    <t xml:space="preserve">Closing / legal documents</t>
  </si>
  <si>
    <t xml:space="preserve">Round total, NB co-investor amounts, covenants, gov funding conditions, term sheet fields</t>
  </si>
  <si>
    <t xml:space="preserve">Manual entry at close</t>
  </si>
  <si>
    <t xml:space="preserve">Round total and NB-other drive two mandate KPIs and exist in no system today. Add them to the deal-close checklist.</t>
  </si>
  <si>
    <t xml:space="preserve">GP capital account statements</t>
  </si>
  <si>
    <t xml:space="preserve">LP position NAV, capital calls, distributions, next call, AGM dates</t>
  </si>
  <si>
    <t xml:space="preserve">Manual entry; statements arrive by email/portal</t>
  </si>
  <si>
    <t xml:space="preserve">Quarterly (lagged)</t>
  </si>
  <si>
    <t xml:space="preserve">Track statement lag explicitly - GP NAV is typically a quarter behind.</t>
  </si>
  <si>
    <t xml:space="preserve">To be built</t>
  </si>
  <si>
    <t xml:space="preserve">Health rating, risk flags, milestones, tasks, reserves allocation, diligence gates, memos, board seats</t>
  </si>
  <si>
    <t xml:space="preserve">In-app forms</t>
  </si>
  <si>
    <t xml:space="preserve">Ongoing</t>
  </si>
  <si>
    <t xml:space="preserve">Everything with no upstream system. This is what the custom build genuinely owns.</t>
  </si>
  <si>
    <t xml:space="preserve">Microsoft Entra ID</t>
  </si>
  <si>
    <t xml:space="preserve">Staff identity and roles (vc / finance / leadership / admin)</t>
  </si>
  <si>
    <t xml:space="preserve">OIDC / MSAL</t>
  </si>
  <si>
    <t xml:space="preserve">IT (you + MSP)</t>
  </si>
  <si>
    <t xml:space="preserve">Staff only. Board members receive PDF exports; no guest accounts in phase 1 (ADR-005).</t>
  </si>
  <si>
    <t xml:space="preserve">Ref</t>
  </si>
  <si>
    <t xml:space="preserve">Decision / Action</t>
  </si>
  <si>
    <t xml:space="preserve">Why It Matters</t>
  </si>
  <si>
    <t xml:space="preserve">ADR Ref</t>
  </si>
  <si>
    <t xml:space="preserve">D-1</t>
  </si>
  <si>
    <t xml:space="preserve">OUTSTANDING</t>
  </si>
  <si>
    <t xml:space="preserve">Confirm the import contract may treat derived fields as advisory, correcting them against the transactions and returning a reconciliation warning.</t>
  </si>
  <si>
    <t xml:space="preserve">Still to be walked through with Daniel. His stated requirement was that the contract stay intact; this is the one place his workflow behaviour changes.</t>
  </si>
  <si>
    <t xml:space="preserve">Daniel Armali</t>
  </si>
  <si>
    <t xml:space="preserve">D-6</t>
  </si>
  <si>
    <t xml:space="preserve">Confirm which quarter convention each screen displays, now that fiscal and calendar labels differ.</t>
  </si>
  <si>
    <t xml:space="preserve">Still to be walked through with Daniel. Suggested split: fiscal on Reports and board-facing views, calendar on the Portfolio KPI history.</t>
  </si>
  <si>
    <t xml:space="preserve">D-2</t>
  </si>
  <si>
    <t xml:space="preserve">Settled</t>
  </si>
  <si>
    <t xml:space="preserve">How revenue is presented.</t>
  </si>
  <si>
    <t xml:space="preserve">DISPLAY AS REPORTED. Visible's quarterly actual stored and shown unchanged, no annualisation. Label moves to quarterly revenue.</t>
  </si>
  <si>
    <t xml:space="preserve">D-3</t>
  </si>
  <si>
    <t xml:space="preserve">FMV growth showing two flat quarters per year.</t>
  </si>
  <si>
    <t xml:space="preserve">ACCEPTED with carry-forward labelled on screen. Cadence unchanged.</t>
  </si>
  <si>
    <t xml:space="preserve">D-4</t>
  </si>
  <si>
    <t xml:space="preserve">Deal-close capture of round total, NB co-investors and ownership.</t>
  </si>
  <si>
    <t xml:space="preserve">ACCEPTED. Deal lead completes the capture form at close; coverage monitored on the dashboard.</t>
  </si>
  <si>
    <t xml:space="preserve">D-5</t>
  </si>
  <si>
    <t xml:space="preserve">Diversity tile treatment of non-reporters.</t>
  </si>
  <si>
    <t xml:space="preserve">ACCEPTED. Non-reporters excluded from the denominator; coverage shown alongside. NULL never renders as zero.</t>
  </si>
  <si>
    <t xml:space="preserve">A-1</t>
  </si>
  <si>
    <t xml:space="preserve">Action</t>
  </si>
  <si>
    <t xml:space="preserve">Add women in C-suite and C-suite size to the Visible quarterly request.</t>
  </si>
  <si>
    <t xml:space="preserve">The diversity mandate tile has no source until this lands.</t>
  </si>
  <si>
    <t xml:space="preserve">A-2</t>
  </si>
  <si>
    <t xml:space="preserve">Historical backfill: transactions, marks and fund activity. Finance has started.</t>
  </si>
  <si>
    <t xml:space="preserve">CRITICAL PATH. Histories exceed fifteen years for some companies. The app can be built on demo data; it cannot go live without history.</t>
  </si>
  <si>
    <t xml:space="preserve">Finance + Analyst</t>
  </si>
  <si>
    <t xml:space="preserve">ADR-015</t>
  </si>
  <si>
    <t xml:space="preserve">A-3</t>
  </si>
  <si>
    <t xml:space="preserve">Issue the staging templates to Finance and reconcile the first batch against agreed control totals.</t>
  </si>
  <si>
    <t xml:space="preserve">Templates issued. Each batch ties to Finance's own control totals before the next begins.</t>
  </si>
  <si>
    <t xml:space="preserve">Analyst + Finance</t>
  </si>
  <si>
    <t xml:space="preserve">ADR-019</t>
  </si>
  <si>
    <t xml:space="preserve">A-4</t>
  </si>
  <si>
    <t xml:space="preserve">Build the company crosswalk: Finance name -&gt; Affinity organisation -&gt; internal company_id.</t>
  </si>
  <si>
    <t xml:space="preserve">Must exist BEFORE any transaction loads. Routinely the largest hidden cost in a migration of this kind.</t>
  </si>
  <si>
    <t xml:space="preserve">Analyst</t>
  </si>
  <si>
    <t xml:space="preserve">A-5</t>
  </si>
  <si>
    <t xml:space="preserve">Establish how far back PER-COMPANY marks exist, as opposed to fund-level NAV only.</t>
  </si>
  <si>
    <t xml:space="preserve">If early history is fund-level only, per-company MOIC and vintage analysis are not reconstructable for those years and the platform must show that boundary.</t>
  </si>
  <si>
    <t xml:space="preserve">A-6</t>
  </si>
  <si>
    <t xml:space="preserve">Walk D-1 and D-6 through with the VC team lead.</t>
  </si>
  <si>
    <t xml:space="preserve">The last two decisions blocking a fully signed-off architecture.</t>
  </si>
  <si>
    <t xml:space="preserve">ADR-001, ADR-006</t>
  </si>
  <si>
    <t xml:space="preserve">O-1</t>
  </si>
  <si>
    <t xml:space="preserve">Closed</t>
  </si>
  <si>
    <t xml:space="preserve">Valuation effective date vs data cutoff.</t>
  </si>
  <si>
    <t xml:space="preserve">CLOSED: 31 Jan / 31 Jul are effective dates; results reach the board two to three months later.</t>
  </si>
  <si>
    <t xml:space="preserve">O-2</t>
  </si>
  <si>
    <t xml:space="preserve">Whether the 31 March year end warrants a closer mark.</t>
  </si>
  <si>
    <t xml:space="preserve">CLOSED: cadence unchanged by this platform.</t>
  </si>
  <si>
    <t xml:space="preserve">O-3</t>
  </si>
  <si>
    <t xml:space="preserve">Diff funding-agreement definitions against the prototype.</t>
  </si>
  <si>
    <t xml:space="preserve">CLOSED as a blocker: the platform is management information, not the system of submission (ADR-017).</t>
  </si>
  <si>
    <t xml:space="preserve">ADR-017</t>
  </si>
  <si>
    <t xml:space="preserve">O-4</t>
  </si>
  <si>
    <t xml:space="preserve">Whether Visible collects the diversity fields.</t>
  </si>
  <si>
    <t xml:space="preserve">CLOSED: it does not. Being added to the quarterly request (A-1). NULL, never zero, until the series begins.</t>
  </si>
  <si>
    <t xml:space="preserve">O-5</t>
  </si>
  <si>
    <t xml:space="preserve">Whether Visible revenue is run-rate or period actual.</t>
  </si>
  <si>
    <t xml:space="preserve">CLOSED: period actual. Resolved into decision D-2.</t>
  </si>
  <si>
    <t xml:space="preserve">O-6</t>
  </si>
  <si>
    <t xml:space="preserve">Historical availability of round totals and co-investor amounts.</t>
  </si>
  <si>
    <t xml:space="preserve">CLOSED: extensive but imperfect, histories over fifteen years. Coverage tapers with age and is reported, never imputed.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</si>
</sst>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6263F"/>
      <name val="Arial"/>
      <family val="0"/>
      <charset val="1"/>
    </font>
    <font>
      <i val="true"/>
      <sz val="10"/>
      <color rgb="FF5B6878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563EB"/>
      <name val="Arial"/>
      <family val="0"/>
      <charset val="1"/>
    </font>
    <font>
      <i val="true"/>
      <sz val="10"/>
      <color rgb="FFB4530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3F2E1"/>
        <bgColor rgb="FFEEF2F7"/>
      </patternFill>
    </fill>
    <fill>
      <patternFill patternType="solid">
        <fgColor rgb="FFDCE7F7"/>
        <bgColor rgb="FFE3F2E1"/>
      </patternFill>
    </fill>
    <fill>
      <patternFill patternType="solid">
        <fgColor rgb="FFFFF6DC"/>
        <bgColor rgb="FFEEF2F7"/>
      </patternFill>
    </fill>
    <fill>
      <patternFill patternType="solid">
        <fgColor rgb="FF16263F"/>
        <bgColor rgb="FF003366"/>
      </patternFill>
    </fill>
    <fill>
      <patternFill patternType="solid">
        <fgColor rgb="FFEEF2F7"/>
        <bgColor rgb="FFE3F2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E"/>
      </left>
      <right style="thin">
        <color rgb="FFC9D2DE"/>
      </right>
      <top style="thin">
        <color rgb="FFC9D2DE"/>
      </top>
      <bottom style="thin">
        <color rgb="FFC9D2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6263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45309"/>
          <bgColor rgb="FF000000"/>
        </patternFill>
      </fill>
    </dxf>
    <dxf>
      <fill>
        <patternFill patternType="solid">
          <fgColor rgb="FFDCE7F7"/>
          <bgColor rgb="FF000000"/>
        </patternFill>
      </fill>
    </dxf>
    <dxf>
      <fill>
        <patternFill patternType="solid">
          <fgColor rgb="FFE3F2E1"/>
          <bgColor rgb="FF000000"/>
        </patternFill>
      </fill>
    </dxf>
    <dxf>
      <fill>
        <patternFill patternType="solid">
          <fgColor rgb="FF2563EB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C"/>
      <rgbColor rgb="FFDCE7F7"/>
      <rgbColor rgb="FF660066"/>
      <rgbColor rgb="FFFF8080"/>
      <rgbColor rgb="FF0066CC"/>
      <rgbColor rgb="FFC9D2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3F2E1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5B6878"/>
      <rgbColor rgb="FF969696"/>
      <rgbColor rgb="FF003366"/>
      <rgbColor rgb="FF339966"/>
      <rgbColor rgb="FF003300"/>
      <rgbColor rgb="FF333300"/>
      <rgbColor rgb="FFB45309"/>
      <rgbColor rgb="FF993366"/>
      <rgbColor rgb="FF333399"/>
      <rgbColor rgb="FF1626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 t="s">
        <v>6</v>
      </c>
    </row>
    <row r="9" customFormat="false" ht="15" hidden="false" customHeight="false" outlineLevel="0" collapsed="false">
      <c r="A9" s="3" t="s">
        <v>7</v>
      </c>
    </row>
    <row r="10" customFormat="false" ht="15" hidden="false" customHeight="false" outlineLevel="0" collapsed="false">
      <c r="A10" s="3" t="s">
        <v>8</v>
      </c>
    </row>
    <row r="11" customFormat="false" ht="15" hidden="false" customHeight="false" outlineLevel="0" collapsed="false">
      <c r="A11" s="3" t="s">
        <v>9</v>
      </c>
    </row>
    <row r="12" customFormat="false" ht="15" hidden="false" customHeight="false" outlineLevel="0" collapsed="false">
      <c r="A12" s="3"/>
    </row>
    <row r="13" customFormat="false" ht="15" hidden="false" customHeight="false" outlineLevel="0" collapsed="false">
      <c r="A13" s="4" t="s">
        <v>10</v>
      </c>
    </row>
    <row r="14" customFormat="false" ht="15" hidden="false" customHeight="false" outlineLevel="0" collapsed="false">
      <c r="A14" s="3" t="s">
        <v>11</v>
      </c>
      <c r="B14" s="3" t="s">
        <v>12</v>
      </c>
    </row>
    <row r="15" customFormat="false" ht="15" hidden="false" customHeight="false" outlineLevel="0" collapsed="false">
      <c r="A15" s="3" t="s">
        <v>13</v>
      </c>
      <c r="B15" s="3" t="s">
        <v>14</v>
      </c>
    </row>
    <row r="16" customFormat="false" ht="15" hidden="false" customHeight="false" outlineLevel="0" collapsed="false">
      <c r="A16" s="3"/>
    </row>
    <row r="17" customFormat="false" ht="15" hidden="false" customHeight="false" outlineLevel="0" collapsed="false">
      <c r="A17" s="4" t="s">
        <v>15</v>
      </c>
    </row>
    <row r="18" customFormat="false" ht="15" hidden="false" customHeight="false" outlineLevel="0" collapsed="false">
      <c r="A18" s="5" t="s">
        <v>16</v>
      </c>
      <c r="B18" s="3" t="s">
        <v>17</v>
      </c>
    </row>
    <row r="19" customFormat="false" ht="15" hidden="false" customHeight="false" outlineLevel="0" collapsed="false">
      <c r="A19" s="6" t="s">
        <v>18</v>
      </c>
      <c r="B19" s="3" t="s">
        <v>19</v>
      </c>
    </row>
    <row r="20" customFormat="false" ht="15" hidden="false" customHeight="false" outlineLevel="0" collapsed="false">
      <c r="A20" s="7" t="s">
        <v>20</v>
      </c>
      <c r="B20" s="3" t="s">
        <v>21</v>
      </c>
    </row>
    <row r="23" customFormat="false" ht="15" hidden="false" customHeight="false" outlineLevel="0" collapsed="false">
      <c r="A23" s="4" t="s">
        <v>22</v>
      </c>
    </row>
    <row r="24" customFormat="false" ht="15" hidden="false" customHeight="false" outlineLevel="0" collapsed="false">
      <c r="A24" s="3" t="s">
        <v>23</v>
      </c>
      <c r="B24" s="8" t="n">
        <f aca="false">COUNTA('Field Inventory'!B2:B149)</f>
        <v>148</v>
      </c>
    </row>
    <row r="25" customFormat="false" ht="15" hidden="false" customHeight="false" outlineLevel="0" collapsed="false">
      <c r="A25" s="3" t="s">
        <v>16</v>
      </c>
      <c r="B25" s="8" t="n">
        <f aca="false">COUNTIF('Field Inventory'!M2:M149,"Confirmed")</f>
        <v>138</v>
      </c>
    </row>
    <row r="26" customFormat="false" ht="15" hidden="false" customHeight="false" outlineLevel="0" collapsed="false">
      <c r="A26" s="3" t="s">
        <v>18</v>
      </c>
      <c r="B26" s="8" t="n">
        <f aca="false">COUNTIF('Field Inventory'!M2:M149,"To Build")</f>
        <v>10</v>
      </c>
    </row>
    <row r="27" customFormat="false" ht="15" hidden="false" customHeight="false" outlineLevel="0" collapsed="false">
      <c r="A27" s="3" t="s">
        <v>20</v>
      </c>
      <c r="B27" s="8" t="n">
        <f aca="false">COUNTIF('Field Inventory'!M2:M149,"Open")</f>
        <v>0</v>
      </c>
    </row>
    <row r="28" customFormat="false" ht="15" hidden="false" customHeight="false" outlineLevel="0" collapsed="false">
      <c r="A28" s="3" t="s">
        <v>24</v>
      </c>
      <c r="B28" s="8" t="n">
        <f aca="false">COUNTIF('Field Inventory'!G2:G149,"Stored")</f>
        <v>130</v>
      </c>
    </row>
    <row r="29" customFormat="false" ht="15" hidden="false" customHeight="false" outlineLevel="0" collapsed="false">
      <c r="A29" s="3" t="s">
        <v>25</v>
      </c>
      <c r="B29" s="8" t="n">
        <f aca="false">COUNTIF('Field Inventory'!G2:G149,"Derived")</f>
        <v>18</v>
      </c>
    </row>
    <row r="30" customFormat="false" ht="15" hidden="false" customHeight="false" outlineLevel="0" collapsed="false">
      <c r="A30" s="3" t="s">
        <v>26</v>
      </c>
      <c r="B30" s="8" t="n">
        <f aca="false">COUNTIF('Field Inventory'!J2:J149,"Affinity")</f>
        <v>19</v>
      </c>
    </row>
    <row r="31" customFormat="false" ht="15" hidden="false" customHeight="false" outlineLevel="0" collapsed="false">
      <c r="A31" s="3" t="s">
        <v>27</v>
      </c>
      <c r="B31" s="8" t="n">
        <f aca="false">COUNTIF('Field Inventory'!J2:J149,"Visible.vc")</f>
        <v>9</v>
      </c>
    </row>
    <row r="32" customFormat="false" ht="15" hidden="false" customHeight="false" outlineLevel="0" collapsed="false">
      <c r="A32" s="3" t="s">
        <v>28</v>
      </c>
      <c r="B32" s="8" t="n">
        <f aca="false">COUNTIF('Field Inventory'!J2:J149,"Finance*")</f>
        <v>19</v>
      </c>
    </row>
    <row r="33" customFormat="false" ht="15" hidden="false" customHeight="false" outlineLevel="0" collapsed="false">
      <c r="A33" s="3" t="s">
        <v>29</v>
      </c>
      <c r="B33" s="8" t="n">
        <f aca="false">COUNTIF('Field Inventory'!J2:J149,"Platform (user entry)")</f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12"/>
    <col collapsed="false" customWidth="true" hidden="false" outlineLevel="0" max="5" min="5" style="0" width="20"/>
    <col collapsed="false" customWidth="true" hidden="false" outlineLevel="0" max="6" min="6" style="0" width="26"/>
    <col collapsed="false" customWidth="true" hidden="false" outlineLevel="0" max="7" min="7" style="0" width="16"/>
    <col collapsed="false" customWidth="true" hidden="false" outlineLevel="0" max="8" min="8" style="0" width="22"/>
    <col collapsed="false" customWidth="true" hidden="false" outlineLevel="0" max="9" min="9" style="0" width="24"/>
    <col collapsed="false" customWidth="true" hidden="false" outlineLevel="0" max="10" min="10" style="0" width="26"/>
    <col collapsed="false" customWidth="true" hidden="false" outlineLevel="0" max="11" min="11" style="0" width="16"/>
    <col collapsed="false" customWidth="true" hidden="false" outlineLevel="0" max="12" min="12" style="0" width="14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5" min="15" style="0" width="82"/>
  </cols>
  <sheetData>
    <row r="1" customFormat="false" ht="23.85" hidden="false" customHeight="false" outlineLevel="0" collapsed="false">
      <c r="A1" s="9" t="s">
        <v>30</v>
      </c>
      <c r="B1" s="9" t="s">
        <v>31</v>
      </c>
      <c r="C1" s="9" t="s">
        <v>32</v>
      </c>
      <c r="D1" s="9" t="s">
        <v>33</v>
      </c>
      <c r="E1" s="9" t="s">
        <v>34</v>
      </c>
      <c r="F1" s="9" t="s">
        <v>35</v>
      </c>
      <c r="G1" s="9" t="s">
        <v>36</v>
      </c>
      <c r="H1" s="9" t="s">
        <v>37</v>
      </c>
      <c r="I1" s="9" t="s">
        <v>38</v>
      </c>
      <c r="J1" s="9" t="s">
        <v>39</v>
      </c>
      <c r="K1" s="9" t="s">
        <v>40</v>
      </c>
      <c r="L1" s="9" t="s">
        <v>41</v>
      </c>
      <c r="M1" s="9" t="s">
        <v>42</v>
      </c>
      <c r="N1" s="9" t="s">
        <v>43</v>
      </c>
      <c r="O1" s="9" t="s">
        <v>44</v>
      </c>
    </row>
    <row r="2" customFormat="false" ht="15" hidden="false" customHeight="false" outlineLevel="0" collapsed="false">
      <c r="A2" s="10" t="s">
        <v>45</v>
      </c>
      <c r="B2" s="10" t="s">
        <v>46</v>
      </c>
      <c r="C2" s="10" t="s">
        <v>47</v>
      </c>
      <c r="D2" s="10" t="s">
        <v>48</v>
      </c>
      <c r="E2" s="10" t="s">
        <v>49</v>
      </c>
      <c r="F2" s="11"/>
      <c r="G2" s="10" t="s">
        <v>24</v>
      </c>
      <c r="H2" s="10" t="s">
        <v>45</v>
      </c>
      <c r="I2" s="10" t="s">
        <v>46</v>
      </c>
      <c r="J2" s="10" t="s">
        <v>50</v>
      </c>
      <c r="K2" s="10" t="s">
        <v>51</v>
      </c>
      <c r="L2" s="10" t="s">
        <v>52</v>
      </c>
      <c r="M2" s="12" t="s">
        <v>16</v>
      </c>
      <c r="N2" s="13" t="s">
        <v>53</v>
      </c>
      <c r="O2" s="11" t="s">
        <v>54</v>
      </c>
    </row>
    <row r="3" customFormat="false" ht="23.85" hidden="false" customHeight="false" outlineLevel="0" collapsed="false">
      <c r="A3" s="10" t="s">
        <v>45</v>
      </c>
      <c r="B3" s="10" t="s">
        <v>55</v>
      </c>
      <c r="C3" s="10" t="s">
        <v>56</v>
      </c>
      <c r="D3" s="10" t="s">
        <v>48</v>
      </c>
      <c r="E3" s="10" t="s">
        <v>57</v>
      </c>
      <c r="F3" s="11" t="s">
        <v>58</v>
      </c>
      <c r="G3" s="10" t="s">
        <v>24</v>
      </c>
      <c r="H3" s="10" t="s">
        <v>45</v>
      </c>
      <c r="I3" s="10" t="s">
        <v>59</v>
      </c>
      <c r="J3" s="10" t="s">
        <v>60</v>
      </c>
      <c r="K3" s="10" t="s">
        <v>51</v>
      </c>
      <c r="L3" s="10" t="s">
        <v>52</v>
      </c>
      <c r="M3" s="12" t="s">
        <v>16</v>
      </c>
      <c r="N3" s="13" t="s">
        <v>61</v>
      </c>
      <c r="O3" s="11" t="s">
        <v>62</v>
      </c>
    </row>
    <row r="4" customFormat="false" ht="15" hidden="false" customHeight="false" outlineLevel="0" collapsed="false">
      <c r="A4" s="10" t="s">
        <v>45</v>
      </c>
      <c r="B4" s="10" t="s">
        <v>63</v>
      </c>
      <c r="C4" s="10" t="s">
        <v>64</v>
      </c>
      <c r="D4" s="10" t="s">
        <v>65</v>
      </c>
      <c r="E4" s="10" t="s">
        <v>66</v>
      </c>
      <c r="F4" s="11"/>
      <c r="G4" s="10" t="s">
        <v>24</v>
      </c>
      <c r="H4" s="10" t="s">
        <v>45</v>
      </c>
      <c r="I4" s="10" t="s">
        <v>67</v>
      </c>
      <c r="J4" s="10" t="s">
        <v>50</v>
      </c>
      <c r="K4" s="10" t="s">
        <v>51</v>
      </c>
      <c r="L4" s="10" t="s">
        <v>52</v>
      </c>
      <c r="M4" s="12" t="s">
        <v>16</v>
      </c>
      <c r="N4" s="13" t="s">
        <v>53</v>
      </c>
      <c r="O4" s="11" t="s">
        <v>68</v>
      </c>
    </row>
    <row r="5" customFormat="false" ht="15" hidden="false" customHeight="false" outlineLevel="0" collapsed="false">
      <c r="A5" s="10" t="s">
        <v>45</v>
      </c>
      <c r="B5" s="10" t="s">
        <v>69</v>
      </c>
      <c r="C5" s="10" t="s">
        <v>70</v>
      </c>
      <c r="D5" s="10" t="s">
        <v>71</v>
      </c>
      <c r="E5" s="10" t="s">
        <v>49</v>
      </c>
      <c r="F5" s="11" t="s">
        <v>72</v>
      </c>
      <c r="G5" s="10" t="s">
        <v>24</v>
      </c>
      <c r="H5" s="10" t="s">
        <v>45</v>
      </c>
      <c r="I5" s="10" t="s">
        <v>69</v>
      </c>
      <c r="J5" s="10" t="s">
        <v>60</v>
      </c>
      <c r="K5" s="10" t="s">
        <v>51</v>
      </c>
      <c r="L5" s="10" t="s">
        <v>52</v>
      </c>
      <c r="M5" s="12" t="s">
        <v>16</v>
      </c>
      <c r="N5" s="13" t="s">
        <v>53</v>
      </c>
      <c r="O5" s="11" t="s">
        <v>73</v>
      </c>
    </row>
    <row r="6" customFormat="false" ht="15" hidden="false" customHeight="false" outlineLevel="0" collapsed="false">
      <c r="A6" s="10" t="s">
        <v>45</v>
      </c>
      <c r="B6" s="10" t="s">
        <v>74</v>
      </c>
      <c r="C6" s="10" t="s">
        <v>75</v>
      </c>
      <c r="D6" s="10" t="s">
        <v>76</v>
      </c>
      <c r="E6" s="10" t="s">
        <v>77</v>
      </c>
      <c r="F6" s="11"/>
      <c r="G6" s="10" t="s">
        <v>24</v>
      </c>
      <c r="H6" s="10" t="s">
        <v>45</v>
      </c>
      <c r="I6" s="10" t="s">
        <v>78</v>
      </c>
      <c r="J6" s="10" t="s">
        <v>79</v>
      </c>
      <c r="K6" s="10" t="s">
        <v>80</v>
      </c>
      <c r="L6" s="10" t="s">
        <v>81</v>
      </c>
      <c r="M6" s="12" t="s">
        <v>16</v>
      </c>
      <c r="N6" s="13" t="s">
        <v>82</v>
      </c>
      <c r="O6" s="11" t="s">
        <v>83</v>
      </c>
    </row>
    <row r="7" customFormat="false" ht="15" hidden="false" customHeight="false" outlineLevel="0" collapsed="false">
      <c r="A7" s="10" t="s">
        <v>45</v>
      </c>
      <c r="B7" s="10" t="s">
        <v>84</v>
      </c>
      <c r="C7" s="10" t="s">
        <v>85</v>
      </c>
      <c r="D7" s="10" t="s">
        <v>76</v>
      </c>
      <c r="E7" s="10" t="s">
        <v>77</v>
      </c>
      <c r="F7" s="11"/>
      <c r="G7" s="10" t="s">
        <v>24</v>
      </c>
      <c r="H7" s="10" t="s">
        <v>45</v>
      </c>
      <c r="I7" s="10" t="s">
        <v>84</v>
      </c>
      <c r="J7" s="10" t="s">
        <v>79</v>
      </c>
      <c r="K7" s="10" t="s">
        <v>80</v>
      </c>
      <c r="L7" s="10" t="s">
        <v>52</v>
      </c>
      <c r="M7" s="12" t="s">
        <v>16</v>
      </c>
      <c r="N7" s="13" t="s">
        <v>82</v>
      </c>
      <c r="O7" s="11" t="s">
        <v>86</v>
      </c>
    </row>
    <row r="8" customFormat="false" ht="15" hidden="false" customHeight="false" outlineLevel="0" collapsed="false">
      <c r="A8" s="10" t="s">
        <v>45</v>
      </c>
      <c r="B8" s="10" t="s">
        <v>87</v>
      </c>
      <c r="C8" s="10" t="s">
        <v>88</v>
      </c>
      <c r="D8" s="10" t="s">
        <v>76</v>
      </c>
      <c r="E8" s="10" t="s">
        <v>77</v>
      </c>
      <c r="F8" s="11"/>
      <c r="G8" s="10" t="s">
        <v>24</v>
      </c>
      <c r="H8" s="10" t="s">
        <v>45</v>
      </c>
      <c r="I8" s="10" t="s">
        <v>87</v>
      </c>
      <c r="J8" s="10" t="s">
        <v>79</v>
      </c>
      <c r="K8" s="10" t="s">
        <v>80</v>
      </c>
      <c r="L8" s="10" t="s">
        <v>52</v>
      </c>
      <c r="M8" s="12" t="s">
        <v>16</v>
      </c>
      <c r="N8" s="13" t="s">
        <v>82</v>
      </c>
      <c r="O8" s="11" t="s">
        <v>86</v>
      </c>
    </row>
    <row r="9" customFormat="false" ht="15" hidden="false" customHeight="false" outlineLevel="0" collapsed="false">
      <c r="A9" s="10" t="s">
        <v>45</v>
      </c>
      <c r="B9" s="10" t="s">
        <v>89</v>
      </c>
      <c r="C9" s="10" t="s">
        <v>90</v>
      </c>
      <c r="D9" s="10" t="s">
        <v>48</v>
      </c>
      <c r="E9" s="10" t="s">
        <v>91</v>
      </c>
      <c r="F9" s="11"/>
      <c r="G9" s="10" t="s">
        <v>24</v>
      </c>
      <c r="H9" s="10" t="s">
        <v>45</v>
      </c>
      <c r="I9" s="10" t="s">
        <v>92</v>
      </c>
      <c r="J9" s="10" t="s">
        <v>60</v>
      </c>
      <c r="K9" s="10" t="s">
        <v>51</v>
      </c>
      <c r="L9" s="10" t="s">
        <v>81</v>
      </c>
      <c r="M9" s="12" t="s">
        <v>16</v>
      </c>
      <c r="N9" s="13" t="s">
        <v>53</v>
      </c>
      <c r="O9" s="11" t="s">
        <v>93</v>
      </c>
    </row>
    <row r="10" customFormat="false" ht="15" hidden="false" customHeight="false" outlineLevel="0" collapsed="false">
      <c r="A10" s="10" t="s">
        <v>45</v>
      </c>
      <c r="B10" s="10" t="s">
        <v>94</v>
      </c>
      <c r="C10" s="10" t="s">
        <v>95</v>
      </c>
      <c r="D10" s="10" t="s">
        <v>76</v>
      </c>
      <c r="E10" s="10" t="s">
        <v>96</v>
      </c>
      <c r="F10" s="11" t="s">
        <v>97</v>
      </c>
      <c r="G10" s="10" t="s">
        <v>24</v>
      </c>
      <c r="H10" s="10" t="s">
        <v>45</v>
      </c>
      <c r="I10" s="10" t="s">
        <v>98</v>
      </c>
      <c r="J10" s="10" t="s">
        <v>60</v>
      </c>
      <c r="K10" s="10" t="s">
        <v>51</v>
      </c>
      <c r="L10" s="10" t="s">
        <v>99</v>
      </c>
      <c r="M10" s="12" t="s">
        <v>16</v>
      </c>
      <c r="N10" s="13" t="s">
        <v>53</v>
      </c>
      <c r="O10" s="11" t="s">
        <v>100</v>
      </c>
    </row>
    <row r="11" customFormat="false" ht="15" hidden="false" customHeight="false" outlineLevel="0" collapsed="false">
      <c r="A11" s="10" t="s">
        <v>45</v>
      </c>
      <c r="B11" s="10" t="s">
        <v>101</v>
      </c>
      <c r="C11" s="10" t="s">
        <v>102</v>
      </c>
      <c r="D11" s="10" t="s">
        <v>65</v>
      </c>
      <c r="E11" s="10" t="s">
        <v>103</v>
      </c>
      <c r="F11" s="11"/>
      <c r="G11" s="10" t="s">
        <v>24</v>
      </c>
      <c r="H11" s="10" t="s">
        <v>45</v>
      </c>
      <c r="I11" s="10" t="s">
        <v>104</v>
      </c>
      <c r="J11" s="10" t="s">
        <v>50</v>
      </c>
      <c r="K11" s="10" t="s">
        <v>51</v>
      </c>
      <c r="L11" s="10" t="s">
        <v>99</v>
      </c>
      <c r="M11" s="12" t="s">
        <v>16</v>
      </c>
      <c r="N11" s="13" t="s">
        <v>53</v>
      </c>
      <c r="O11" s="11" t="s">
        <v>105</v>
      </c>
    </row>
    <row r="12" customFormat="false" ht="15" hidden="false" customHeight="false" outlineLevel="0" collapsed="false">
      <c r="A12" s="10" t="s">
        <v>45</v>
      </c>
      <c r="B12" s="10" t="s">
        <v>106</v>
      </c>
      <c r="C12" s="10" t="s">
        <v>107</v>
      </c>
      <c r="D12" s="10" t="s">
        <v>76</v>
      </c>
      <c r="E12" s="10" t="s">
        <v>77</v>
      </c>
      <c r="F12" s="11"/>
      <c r="G12" s="10" t="s">
        <v>24</v>
      </c>
      <c r="H12" s="10" t="s">
        <v>45</v>
      </c>
      <c r="I12" s="10" t="s">
        <v>108</v>
      </c>
      <c r="J12" s="10" t="s">
        <v>50</v>
      </c>
      <c r="K12" s="10" t="s">
        <v>51</v>
      </c>
      <c r="L12" s="10" t="s">
        <v>99</v>
      </c>
      <c r="M12" s="12" t="s">
        <v>16</v>
      </c>
      <c r="N12" s="13" t="s">
        <v>53</v>
      </c>
      <c r="O12" s="11" t="s">
        <v>109</v>
      </c>
    </row>
    <row r="13" customFormat="false" ht="15" hidden="false" customHeight="false" outlineLevel="0" collapsed="false">
      <c r="A13" s="10" t="s">
        <v>45</v>
      </c>
      <c r="B13" s="10" t="s">
        <v>110</v>
      </c>
      <c r="C13" s="10" t="s">
        <v>111</v>
      </c>
      <c r="D13" s="10" t="s">
        <v>65</v>
      </c>
      <c r="E13" s="10" t="s">
        <v>103</v>
      </c>
      <c r="F13" s="11"/>
      <c r="G13" s="14" t="s">
        <v>112</v>
      </c>
      <c r="H13" s="10" t="s">
        <v>113</v>
      </c>
      <c r="I13" s="10" t="s">
        <v>113</v>
      </c>
      <c r="J13" s="10" t="s">
        <v>114</v>
      </c>
      <c r="K13" s="10" t="s">
        <v>112</v>
      </c>
      <c r="L13" s="10" t="s">
        <v>115</v>
      </c>
      <c r="M13" s="12" t="s">
        <v>16</v>
      </c>
      <c r="N13" s="13" t="s">
        <v>116</v>
      </c>
      <c r="O13" s="11" t="s">
        <v>117</v>
      </c>
    </row>
    <row r="14" customFormat="false" ht="15" hidden="false" customHeight="false" outlineLevel="0" collapsed="false">
      <c r="A14" s="10" t="s">
        <v>45</v>
      </c>
      <c r="B14" s="10" t="s">
        <v>118</v>
      </c>
      <c r="C14" s="10" t="s">
        <v>119</v>
      </c>
      <c r="D14" s="10" t="s">
        <v>48</v>
      </c>
      <c r="E14" s="10" t="s">
        <v>91</v>
      </c>
      <c r="F14" s="11"/>
      <c r="G14" s="10" t="s">
        <v>24</v>
      </c>
      <c r="H14" s="10" t="s">
        <v>45</v>
      </c>
      <c r="I14" s="10" t="s">
        <v>120</v>
      </c>
      <c r="J14" s="10" t="s">
        <v>60</v>
      </c>
      <c r="K14" s="10" t="s">
        <v>51</v>
      </c>
      <c r="L14" s="10" t="s">
        <v>81</v>
      </c>
      <c r="M14" s="12" t="s">
        <v>16</v>
      </c>
      <c r="N14" s="13" t="s">
        <v>53</v>
      </c>
      <c r="O14" s="11" t="s">
        <v>121</v>
      </c>
    </row>
    <row r="15" customFormat="false" ht="23.85" hidden="false" customHeight="false" outlineLevel="0" collapsed="false">
      <c r="A15" s="10" t="s">
        <v>45</v>
      </c>
      <c r="B15" s="10" t="s">
        <v>122</v>
      </c>
      <c r="C15" s="10" t="s">
        <v>123</v>
      </c>
      <c r="D15" s="10" t="s">
        <v>48</v>
      </c>
      <c r="E15" s="10" t="s">
        <v>124</v>
      </c>
      <c r="F15" s="11"/>
      <c r="G15" s="10" t="s">
        <v>24</v>
      </c>
      <c r="H15" s="10" t="s">
        <v>125</v>
      </c>
      <c r="I15" s="10" t="s">
        <v>126</v>
      </c>
      <c r="J15" s="10" t="s">
        <v>114</v>
      </c>
      <c r="K15" s="10" t="s">
        <v>51</v>
      </c>
      <c r="L15" s="10" t="s">
        <v>127</v>
      </c>
      <c r="M15" s="12" t="s">
        <v>16</v>
      </c>
      <c r="N15" s="13" t="s">
        <v>128</v>
      </c>
      <c r="O15" s="11" t="s">
        <v>129</v>
      </c>
    </row>
    <row r="16" customFormat="false" ht="15" hidden="false" customHeight="false" outlineLevel="0" collapsed="false">
      <c r="A16" s="10" t="s">
        <v>45</v>
      </c>
      <c r="B16" s="10" t="s">
        <v>130</v>
      </c>
      <c r="C16" s="10" t="s">
        <v>131</v>
      </c>
      <c r="D16" s="10" t="s">
        <v>76</v>
      </c>
      <c r="E16" s="10" t="s">
        <v>77</v>
      </c>
      <c r="F16" s="11"/>
      <c r="G16" s="14" t="s">
        <v>112</v>
      </c>
      <c r="H16" s="10" t="s">
        <v>125</v>
      </c>
      <c r="I16" s="10" t="s">
        <v>132</v>
      </c>
      <c r="J16" s="10" t="s">
        <v>114</v>
      </c>
      <c r="K16" s="10" t="s">
        <v>112</v>
      </c>
      <c r="L16" s="10" t="s">
        <v>127</v>
      </c>
      <c r="M16" s="12" t="s">
        <v>16</v>
      </c>
      <c r="N16" s="13" t="s">
        <v>128</v>
      </c>
      <c r="O16" s="11" t="s">
        <v>133</v>
      </c>
    </row>
    <row r="17" customFormat="false" ht="15" hidden="false" customHeight="false" outlineLevel="0" collapsed="false">
      <c r="A17" s="10" t="s">
        <v>45</v>
      </c>
      <c r="B17" s="10" t="s">
        <v>134</v>
      </c>
      <c r="C17" s="10" t="s">
        <v>135</v>
      </c>
      <c r="D17" s="10" t="s">
        <v>76</v>
      </c>
      <c r="E17" s="10" t="s">
        <v>77</v>
      </c>
      <c r="F17" s="11"/>
      <c r="G17" s="14" t="s">
        <v>112</v>
      </c>
      <c r="H17" s="10" t="s">
        <v>125</v>
      </c>
      <c r="I17" s="10" t="s">
        <v>136</v>
      </c>
      <c r="J17" s="10" t="s">
        <v>114</v>
      </c>
      <c r="K17" s="10" t="s">
        <v>112</v>
      </c>
      <c r="L17" s="10" t="s">
        <v>127</v>
      </c>
      <c r="M17" s="12" t="s">
        <v>16</v>
      </c>
      <c r="N17" s="13" t="s">
        <v>128</v>
      </c>
      <c r="O17" s="11" t="s">
        <v>137</v>
      </c>
    </row>
    <row r="18" customFormat="false" ht="23.85" hidden="false" customHeight="false" outlineLevel="0" collapsed="false">
      <c r="A18" s="10" t="s">
        <v>45</v>
      </c>
      <c r="B18" s="10" t="s">
        <v>138</v>
      </c>
      <c r="C18" s="10" t="s">
        <v>139</v>
      </c>
      <c r="D18" s="10" t="s">
        <v>140</v>
      </c>
      <c r="E18" s="10" t="s">
        <v>141</v>
      </c>
      <c r="F18" s="11"/>
      <c r="G18" s="10" t="s">
        <v>24</v>
      </c>
      <c r="H18" s="10" t="s">
        <v>142</v>
      </c>
      <c r="I18" s="10" t="s">
        <v>143</v>
      </c>
      <c r="J18" s="10" t="s">
        <v>79</v>
      </c>
      <c r="K18" s="10" t="s">
        <v>80</v>
      </c>
      <c r="L18" s="10" t="s">
        <v>144</v>
      </c>
      <c r="M18" s="15" t="s">
        <v>18</v>
      </c>
      <c r="N18" s="13" t="s">
        <v>82</v>
      </c>
      <c r="O18" s="11" t="s">
        <v>145</v>
      </c>
    </row>
    <row r="19" customFormat="false" ht="23.85" hidden="false" customHeight="false" outlineLevel="0" collapsed="false">
      <c r="A19" s="10" t="s">
        <v>45</v>
      </c>
      <c r="B19" s="10" t="s">
        <v>146</v>
      </c>
      <c r="C19" s="10" t="s">
        <v>147</v>
      </c>
      <c r="D19" s="10" t="s">
        <v>76</v>
      </c>
      <c r="E19" s="10" t="s">
        <v>77</v>
      </c>
      <c r="F19" s="11" t="s">
        <v>148</v>
      </c>
      <c r="G19" s="10" t="s">
        <v>24</v>
      </c>
      <c r="H19" s="10" t="s">
        <v>142</v>
      </c>
      <c r="I19" s="10" t="s">
        <v>149</v>
      </c>
      <c r="J19" s="10" t="s">
        <v>79</v>
      </c>
      <c r="K19" s="10" t="s">
        <v>80</v>
      </c>
      <c r="L19" s="10" t="s">
        <v>144</v>
      </c>
      <c r="M19" s="15" t="s">
        <v>18</v>
      </c>
      <c r="N19" s="13" t="s">
        <v>82</v>
      </c>
      <c r="O19" s="11" t="s">
        <v>150</v>
      </c>
    </row>
    <row r="20" customFormat="false" ht="23.85" hidden="false" customHeight="false" outlineLevel="0" collapsed="false">
      <c r="A20" s="10" t="s">
        <v>45</v>
      </c>
      <c r="B20" s="10" t="s">
        <v>151</v>
      </c>
      <c r="C20" s="10" t="s">
        <v>152</v>
      </c>
      <c r="D20" s="10" t="s">
        <v>48</v>
      </c>
      <c r="E20" s="10" t="s">
        <v>49</v>
      </c>
      <c r="F20" s="11"/>
      <c r="G20" s="10" t="s">
        <v>24</v>
      </c>
      <c r="H20" s="10" t="s">
        <v>142</v>
      </c>
      <c r="I20" s="10" t="s">
        <v>153</v>
      </c>
      <c r="J20" s="10" t="s">
        <v>79</v>
      </c>
      <c r="K20" s="10" t="s">
        <v>80</v>
      </c>
      <c r="L20" s="10" t="s">
        <v>144</v>
      </c>
      <c r="M20" s="15" t="s">
        <v>18</v>
      </c>
      <c r="N20" s="13" t="s">
        <v>82</v>
      </c>
      <c r="O20" s="11" t="s">
        <v>154</v>
      </c>
    </row>
    <row r="21" customFormat="false" ht="23.85" hidden="false" customHeight="false" outlineLevel="0" collapsed="false">
      <c r="A21" s="10" t="s">
        <v>45</v>
      </c>
      <c r="B21" s="10" t="s">
        <v>155</v>
      </c>
      <c r="C21" s="10" t="s">
        <v>156</v>
      </c>
      <c r="D21" s="10" t="s">
        <v>48</v>
      </c>
      <c r="E21" s="10" t="s">
        <v>49</v>
      </c>
      <c r="F21" s="11"/>
      <c r="G21" s="10" t="s">
        <v>24</v>
      </c>
      <c r="H21" s="10" t="s">
        <v>142</v>
      </c>
      <c r="I21" s="10" t="s">
        <v>157</v>
      </c>
      <c r="J21" s="10" t="s">
        <v>79</v>
      </c>
      <c r="K21" s="10" t="s">
        <v>80</v>
      </c>
      <c r="L21" s="10" t="s">
        <v>144</v>
      </c>
      <c r="M21" s="15" t="s">
        <v>18</v>
      </c>
      <c r="N21" s="13" t="s">
        <v>82</v>
      </c>
      <c r="O21" s="11" t="s">
        <v>158</v>
      </c>
    </row>
    <row r="22" customFormat="false" ht="15" hidden="false" customHeight="false" outlineLevel="0" collapsed="false">
      <c r="A22" s="10" t="s">
        <v>159</v>
      </c>
      <c r="B22" s="10" t="s">
        <v>160</v>
      </c>
      <c r="C22" s="10" t="s">
        <v>161</v>
      </c>
      <c r="D22" s="10" t="s">
        <v>48</v>
      </c>
      <c r="E22" s="10" t="s">
        <v>162</v>
      </c>
      <c r="F22" s="11" t="s">
        <v>163</v>
      </c>
      <c r="G22" s="10" t="s">
        <v>24</v>
      </c>
      <c r="H22" s="10" t="s">
        <v>159</v>
      </c>
      <c r="I22" s="10" t="s">
        <v>153</v>
      </c>
      <c r="J22" s="10" t="s">
        <v>50</v>
      </c>
      <c r="K22" s="10" t="s">
        <v>51</v>
      </c>
      <c r="L22" s="10" t="s">
        <v>52</v>
      </c>
      <c r="M22" s="12" t="s">
        <v>16</v>
      </c>
      <c r="N22" s="13" t="s">
        <v>53</v>
      </c>
      <c r="O22" s="11" t="s">
        <v>164</v>
      </c>
    </row>
    <row r="23" customFormat="false" ht="15" hidden="false" customHeight="false" outlineLevel="0" collapsed="false">
      <c r="A23" s="10" t="s">
        <v>159</v>
      </c>
      <c r="B23" s="10" t="s">
        <v>46</v>
      </c>
      <c r="C23" s="10" t="s">
        <v>165</v>
      </c>
      <c r="D23" s="10" t="s">
        <v>48</v>
      </c>
      <c r="E23" s="10" t="s">
        <v>49</v>
      </c>
      <c r="F23" s="11"/>
      <c r="G23" s="10" t="s">
        <v>24</v>
      </c>
      <c r="H23" s="10" t="s">
        <v>159</v>
      </c>
      <c r="I23" s="10" t="s">
        <v>46</v>
      </c>
      <c r="J23" s="10" t="s">
        <v>166</v>
      </c>
      <c r="K23" s="10" t="s">
        <v>166</v>
      </c>
      <c r="L23" s="10" t="s">
        <v>81</v>
      </c>
      <c r="M23" s="12" t="s">
        <v>16</v>
      </c>
      <c r="N23" s="13" t="s">
        <v>167</v>
      </c>
      <c r="O23" s="11" t="s">
        <v>168</v>
      </c>
    </row>
    <row r="24" customFormat="false" ht="15" hidden="false" customHeight="false" outlineLevel="0" collapsed="false">
      <c r="A24" s="10" t="s">
        <v>159</v>
      </c>
      <c r="B24" s="10" t="s">
        <v>169</v>
      </c>
      <c r="C24" s="10" t="s">
        <v>170</v>
      </c>
      <c r="D24" s="10" t="s">
        <v>71</v>
      </c>
      <c r="E24" s="10" t="s">
        <v>49</v>
      </c>
      <c r="F24" s="11" t="s">
        <v>171</v>
      </c>
      <c r="G24" s="10" t="s">
        <v>24</v>
      </c>
      <c r="H24" s="10" t="s">
        <v>159</v>
      </c>
      <c r="I24" s="10" t="s">
        <v>172</v>
      </c>
      <c r="J24" s="10" t="s">
        <v>166</v>
      </c>
      <c r="K24" s="10" t="s">
        <v>166</v>
      </c>
      <c r="L24" s="10" t="s">
        <v>81</v>
      </c>
      <c r="M24" s="12" t="s">
        <v>16</v>
      </c>
      <c r="N24" s="13" t="s">
        <v>167</v>
      </c>
      <c r="O24" s="11" t="s">
        <v>173</v>
      </c>
    </row>
    <row r="25" customFormat="false" ht="15" hidden="false" customHeight="false" outlineLevel="0" collapsed="false">
      <c r="A25" s="10" t="s">
        <v>159</v>
      </c>
      <c r="B25" s="10" t="s">
        <v>174</v>
      </c>
      <c r="C25" s="10" t="s">
        <v>175</v>
      </c>
      <c r="D25" s="10" t="s">
        <v>71</v>
      </c>
      <c r="E25" s="10" t="s">
        <v>49</v>
      </c>
      <c r="F25" s="11" t="s">
        <v>176</v>
      </c>
      <c r="G25" s="10" t="s">
        <v>24</v>
      </c>
      <c r="H25" s="10" t="s">
        <v>177</v>
      </c>
      <c r="I25" s="10" t="s">
        <v>174</v>
      </c>
      <c r="J25" s="10" t="s">
        <v>166</v>
      </c>
      <c r="K25" s="10" t="s">
        <v>166</v>
      </c>
      <c r="L25" s="10" t="s">
        <v>81</v>
      </c>
      <c r="M25" s="12" t="s">
        <v>16</v>
      </c>
      <c r="N25" s="13" t="s">
        <v>167</v>
      </c>
      <c r="O25" s="11" t="s">
        <v>178</v>
      </c>
    </row>
    <row r="26" customFormat="false" ht="15" hidden="false" customHeight="false" outlineLevel="0" collapsed="false">
      <c r="A26" s="10" t="s">
        <v>159</v>
      </c>
      <c r="B26" s="10" t="s">
        <v>63</v>
      </c>
      <c r="C26" s="10" t="s">
        <v>179</v>
      </c>
      <c r="D26" s="10" t="s">
        <v>65</v>
      </c>
      <c r="E26" s="10" t="s">
        <v>66</v>
      </c>
      <c r="F26" s="11"/>
      <c r="G26" s="14" t="s">
        <v>112</v>
      </c>
      <c r="H26" s="10" t="s">
        <v>159</v>
      </c>
      <c r="I26" s="10" t="s">
        <v>180</v>
      </c>
      <c r="J26" s="10" t="s">
        <v>114</v>
      </c>
      <c r="K26" s="10" t="s">
        <v>112</v>
      </c>
      <c r="L26" s="10" t="s">
        <v>52</v>
      </c>
      <c r="M26" s="12" t="s">
        <v>16</v>
      </c>
      <c r="N26" s="13" t="s">
        <v>116</v>
      </c>
      <c r="O26" s="11" t="s">
        <v>181</v>
      </c>
    </row>
    <row r="27" customFormat="false" ht="15" hidden="false" customHeight="false" outlineLevel="0" collapsed="false">
      <c r="A27" s="10" t="s">
        <v>159</v>
      </c>
      <c r="B27" s="10" t="s">
        <v>182</v>
      </c>
      <c r="C27" s="10" t="s">
        <v>183</v>
      </c>
      <c r="D27" s="10" t="s">
        <v>71</v>
      </c>
      <c r="E27" s="10" t="s">
        <v>49</v>
      </c>
      <c r="F27" s="11" t="s">
        <v>184</v>
      </c>
      <c r="G27" s="10" t="s">
        <v>24</v>
      </c>
      <c r="H27" s="10" t="s">
        <v>177</v>
      </c>
      <c r="I27" s="10" t="s">
        <v>182</v>
      </c>
      <c r="J27" s="10" t="s">
        <v>50</v>
      </c>
      <c r="K27" s="10" t="s">
        <v>51</v>
      </c>
      <c r="L27" s="10" t="s">
        <v>127</v>
      </c>
      <c r="M27" s="12" t="s">
        <v>16</v>
      </c>
      <c r="N27" s="13" t="s">
        <v>53</v>
      </c>
      <c r="O27" s="11" t="s">
        <v>185</v>
      </c>
    </row>
    <row r="28" customFormat="false" ht="15" hidden="false" customHeight="false" outlineLevel="0" collapsed="false">
      <c r="A28" s="10" t="s">
        <v>159</v>
      </c>
      <c r="B28" s="10" t="s">
        <v>186</v>
      </c>
      <c r="C28" s="10" t="s">
        <v>187</v>
      </c>
      <c r="D28" s="10" t="s">
        <v>71</v>
      </c>
      <c r="E28" s="10" t="s">
        <v>49</v>
      </c>
      <c r="F28" s="11" t="s">
        <v>188</v>
      </c>
      <c r="G28" s="14" t="s">
        <v>112</v>
      </c>
      <c r="H28" s="10" t="s">
        <v>113</v>
      </c>
      <c r="I28" s="10" t="s">
        <v>113</v>
      </c>
      <c r="J28" s="10" t="s">
        <v>114</v>
      </c>
      <c r="K28" s="10" t="s">
        <v>112</v>
      </c>
      <c r="L28" s="10" t="s">
        <v>115</v>
      </c>
      <c r="M28" s="12" t="s">
        <v>16</v>
      </c>
      <c r="N28" s="13" t="s">
        <v>116</v>
      </c>
      <c r="O28" s="11" t="s">
        <v>189</v>
      </c>
    </row>
    <row r="29" customFormat="false" ht="23.85" hidden="false" customHeight="false" outlineLevel="0" collapsed="false">
      <c r="A29" s="10" t="s">
        <v>159</v>
      </c>
      <c r="B29" s="10" t="s">
        <v>190</v>
      </c>
      <c r="C29" s="10" t="s">
        <v>191</v>
      </c>
      <c r="D29" s="10" t="s">
        <v>76</v>
      </c>
      <c r="E29" s="10" t="s">
        <v>192</v>
      </c>
      <c r="F29" s="11" t="s">
        <v>97</v>
      </c>
      <c r="G29" s="10" t="s">
        <v>24</v>
      </c>
      <c r="H29" s="10" t="s">
        <v>193</v>
      </c>
      <c r="I29" s="10" t="s">
        <v>194</v>
      </c>
      <c r="J29" s="10" t="s">
        <v>50</v>
      </c>
      <c r="K29" s="10" t="s">
        <v>51</v>
      </c>
      <c r="L29" s="10" t="s">
        <v>195</v>
      </c>
      <c r="M29" s="15" t="s">
        <v>18</v>
      </c>
      <c r="N29" s="13" t="s">
        <v>196</v>
      </c>
      <c r="O29" s="11" t="s">
        <v>197</v>
      </c>
    </row>
    <row r="30" customFormat="false" ht="23.85" hidden="false" customHeight="false" outlineLevel="0" collapsed="false">
      <c r="A30" s="10" t="s">
        <v>159</v>
      </c>
      <c r="B30" s="10" t="s">
        <v>198</v>
      </c>
      <c r="C30" s="10" t="s">
        <v>199</v>
      </c>
      <c r="D30" s="10" t="s">
        <v>76</v>
      </c>
      <c r="E30" s="10" t="s">
        <v>77</v>
      </c>
      <c r="F30" s="11"/>
      <c r="G30" s="14" t="s">
        <v>112</v>
      </c>
      <c r="H30" s="10" t="s">
        <v>113</v>
      </c>
      <c r="I30" s="10" t="s">
        <v>113</v>
      </c>
      <c r="J30" s="10" t="s">
        <v>114</v>
      </c>
      <c r="K30" s="10" t="s">
        <v>112</v>
      </c>
      <c r="L30" s="10" t="s">
        <v>115</v>
      </c>
      <c r="M30" s="12" t="s">
        <v>16</v>
      </c>
      <c r="N30" s="13" t="s">
        <v>116</v>
      </c>
      <c r="O30" s="11" t="s">
        <v>200</v>
      </c>
    </row>
    <row r="31" customFormat="false" ht="23.85" hidden="false" customHeight="false" outlineLevel="0" collapsed="false">
      <c r="A31" s="10" t="s">
        <v>159</v>
      </c>
      <c r="B31" s="10" t="s">
        <v>201</v>
      </c>
      <c r="C31" s="10" t="s">
        <v>202</v>
      </c>
      <c r="D31" s="10" t="s">
        <v>76</v>
      </c>
      <c r="E31" s="10" t="s">
        <v>77</v>
      </c>
      <c r="F31" s="11"/>
      <c r="G31" s="14" t="s">
        <v>112</v>
      </c>
      <c r="H31" s="10" t="s">
        <v>113</v>
      </c>
      <c r="I31" s="10" t="s">
        <v>113</v>
      </c>
      <c r="J31" s="10" t="s">
        <v>114</v>
      </c>
      <c r="K31" s="10" t="s">
        <v>112</v>
      </c>
      <c r="L31" s="10" t="s">
        <v>115</v>
      </c>
      <c r="M31" s="12" t="s">
        <v>16</v>
      </c>
      <c r="N31" s="13" t="s">
        <v>116</v>
      </c>
      <c r="O31" s="11" t="s">
        <v>203</v>
      </c>
    </row>
    <row r="32" customFormat="false" ht="15" hidden="false" customHeight="false" outlineLevel="0" collapsed="false">
      <c r="A32" s="10" t="s">
        <v>159</v>
      </c>
      <c r="B32" s="10" t="s">
        <v>204</v>
      </c>
      <c r="C32" s="10" t="s">
        <v>205</v>
      </c>
      <c r="D32" s="10" t="s">
        <v>76</v>
      </c>
      <c r="E32" s="10" t="s">
        <v>77</v>
      </c>
      <c r="F32" s="11"/>
      <c r="G32" s="14" t="s">
        <v>112</v>
      </c>
      <c r="H32" s="10" t="s">
        <v>113</v>
      </c>
      <c r="I32" s="10" t="s">
        <v>113</v>
      </c>
      <c r="J32" s="10" t="s">
        <v>114</v>
      </c>
      <c r="K32" s="10" t="s">
        <v>112</v>
      </c>
      <c r="L32" s="10" t="s">
        <v>115</v>
      </c>
      <c r="M32" s="12" t="s">
        <v>16</v>
      </c>
      <c r="N32" s="13" t="s">
        <v>116</v>
      </c>
      <c r="O32" s="11" t="s">
        <v>206</v>
      </c>
    </row>
    <row r="33" customFormat="false" ht="15" hidden="false" customHeight="false" outlineLevel="0" collapsed="false">
      <c r="A33" s="10" t="s">
        <v>159</v>
      </c>
      <c r="B33" s="10" t="s">
        <v>207</v>
      </c>
      <c r="C33" s="10" t="s">
        <v>208</v>
      </c>
      <c r="D33" s="10" t="s">
        <v>209</v>
      </c>
      <c r="E33" s="10" t="s">
        <v>210</v>
      </c>
      <c r="F33" s="11"/>
      <c r="G33" s="14" t="s">
        <v>112</v>
      </c>
      <c r="H33" s="10" t="s">
        <v>113</v>
      </c>
      <c r="I33" s="10" t="s">
        <v>113</v>
      </c>
      <c r="J33" s="10" t="s">
        <v>114</v>
      </c>
      <c r="K33" s="10" t="s">
        <v>112</v>
      </c>
      <c r="L33" s="10" t="s">
        <v>115</v>
      </c>
      <c r="M33" s="12" t="s">
        <v>16</v>
      </c>
      <c r="N33" s="13" t="s">
        <v>116</v>
      </c>
      <c r="O33" s="11" t="s">
        <v>211</v>
      </c>
    </row>
    <row r="34" customFormat="false" ht="15" hidden="false" customHeight="false" outlineLevel="0" collapsed="false">
      <c r="A34" s="10" t="s">
        <v>159</v>
      </c>
      <c r="B34" s="10" t="s">
        <v>212</v>
      </c>
      <c r="C34" s="10" t="s">
        <v>213</v>
      </c>
      <c r="D34" s="10" t="s">
        <v>140</v>
      </c>
      <c r="E34" s="10" t="s">
        <v>141</v>
      </c>
      <c r="F34" s="11"/>
      <c r="G34" s="10" t="s">
        <v>24</v>
      </c>
      <c r="H34" s="10" t="s">
        <v>214</v>
      </c>
      <c r="I34" s="10" t="s">
        <v>215</v>
      </c>
      <c r="J34" s="10" t="s">
        <v>79</v>
      </c>
      <c r="K34" s="10" t="s">
        <v>80</v>
      </c>
      <c r="L34" s="10" t="s">
        <v>144</v>
      </c>
      <c r="M34" s="12" t="s">
        <v>16</v>
      </c>
      <c r="N34" s="13" t="s">
        <v>82</v>
      </c>
      <c r="O34" s="11" t="s">
        <v>216</v>
      </c>
    </row>
    <row r="35" customFormat="false" ht="23.85" hidden="false" customHeight="false" outlineLevel="0" collapsed="false">
      <c r="A35" s="10" t="s">
        <v>159</v>
      </c>
      <c r="B35" s="10" t="s">
        <v>217</v>
      </c>
      <c r="C35" s="10" t="s">
        <v>218</v>
      </c>
      <c r="D35" s="10" t="s">
        <v>71</v>
      </c>
      <c r="E35" s="10" t="s">
        <v>49</v>
      </c>
      <c r="F35" s="11" t="s">
        <v>219</v>
      </c>
      <c r="G35" s="10" t="s">
        <v>24</v>
      </c>
      <c r="H35" s="10" t="s">
        <v>214</v>
      </c>
      <c r="I35" s="10" t="s">
        <v>220</v>
      </c>
      <c r="J35" s="10" t="s">
        <v>50</v>
      </c>
      <c r="K35" s="10" t="s">
        <v>51</v>
      </c>
      <c r="L35" s="10" t="s">
        <v>144</v>
      </c>
      <c r="M35" s="12" t="s">
        <v>16</v>
      </c>
      <c r="N35" s="13" t="s">
        <v>53</v>
      </c>
      <c r="O35" s="11" t="s">
        <v>221</v>
      </c>
    </row>
    <row r="36" customFormat="false" ht="15" hidden="false" customHeight="false" outlineLevel="0" collapsed="false">
      <c r="A36" s="10" t="s">
        <v>159</v>
      </c>
      <c r="B36" s="10" t="s">
        <v>222</v>
      </c>
      <c r="C36" s="10" t="s">
        <v>223</v>
      </c>
      <c r="D36" s="10" t="s">
        <v>48</v>
      </c>
      <c r="E36" s="10" t="s">
        <v>49</v>
      </c>
      <c r="F36" s="11"/>
      <c r="G36" s="10" t="s">
        <v>24</v>
      </c>
      <c r="H36" s="10" t="s">
        <v>159</v>
      </c>
      <c r="I36" s="10" t="s">
        <v>224</v>
      </c>
      <c r="J36" s="10" t="s">
        <v>166</v>
      </c>
      <c r="K36" s="10" t="s">
        <v>166</v>
      </c>
      <c r="L36" s="10" t="s">
        <v>81</v>
      </c>
      <c r="M36" s="12" t="s">
        <v>16</v>
      </c>
      <c r="N36" s="13" t="s">
        <v>167</v>
      </c>
      <c r="O36" s="11" t="s">
        <v>225</v>
      </c>
    </row>
    <row r="37" customFormat="false" ht="23.85" hidden="false" customHeight="false" outlineLevel="0" collapsed="false">
      <c r="A37" s="10" t="s">
        <v>159</v>
      </c>
      <c r="B37" s="10" t="s">
        <v>226</v>
      </c>
      <c r="C37" s="10" t="s">
        <v>227</v>
      </c>
      <c r="D37" s="10" t="s">
        <v>48</v>
      </c>
      <c r="E37" s="10" t="s">
        <v>228</v>
      </c>
      <c r="F37" s="11"/>
      <c r="G37" s="10" t="s">
        <v>24</v>
      </c>
      <c r="H37" s="10" t="s">
        <v>159</v>
      </c>
      <c r="I37" s="10" t="s">
        <v>229</v>
      </c>
      <c r="J37" s="10" t="s">
        <v>166</v>
      </c>
      <c r="K37" s="10" t="s">
        <v>166</v>
      </c>
      <c r="L37" s="10" t="s">
        <v>81</v>
      </c>
      <c r="M37" s="12" t="s">
        <v>16</v>
      </c>
      <c r="N37" s="13" t="s">
        <v>167</v>
      </c>
      <c r="O37" s="11" t="s">
        <v>230</v>
      </c>
    </row>
    <row r="38" customFormat="false" ht="15" hidden="false" customHeight="false" outlineLevel="0" collapsed="false">
      <c r="A38" s="10" t="s">
        <v>159</v>
      </c>
      <c r="B38" s="10" t="s">
        <v>231</v>
      </c>
      <c r="C38" s="10" t="s">
        <v>232</v>
      </c>
      <c r="D38" s="10" t="s">
        <v>48</v>
      </c>
      <c r="E38" s="10" t="s">
        <v>91</v>
      </c>
      <c r="F38" s="11"/>
      <c r="G38" s="10" t="s">
        <v>24</v>
      </c>
      <c r="H38" s="10" t="s">
        <v>159</v>
      </c>
      <c r="I38" s="10" t="s">
        <v>233</v>
      </c>
      <c r="J38" s="10" t="s">
        <v>166</v>
      </c>
      <c r="K38" s="10" t="s">
        <v>166</v>
      </c>
      <c r="L38" s="10" t="s">
        <v>81</v>
      </c>
      <c r="M38" s="12" t="s">
        <v>16</v>
      </c>
      <c r="N38" s="13" t="s">
        <v>167</v>
      </c>
      <c r="O38" s="11" t="s">
        <v>234</v>
      </c>
    </row>
    <row r="39" customFormat="false" ht="15" hidden="false" customHeight="false" outlineLevel="0" collapsed="false">
      <c r="A39" s="10" t="s">
        <v>159</v>
      </c>
      <c r="B39" s="10" t="s">
        <v>235</v>
      </c>
      <c r="C39" s="10" t="s">
        <v>236</v>
      </c>
      <c r="D39" s="10" t="s">
        <v>71</v>
      </c>
      <c r="E39" s="10" t="s">
        <v>49</v>
      </c>
      <c r="F39" s="11" t="s">
        <v>237</v>
      </c>
      <c r="G39" s="10" t="s">
        <v>24</v>
      </c>
      <c r="H39" s="10" t="s">
        <v>159</v>
      </c>
      <c r="I39" s="10" t="s">
        <v>238</v>
      </c>
      <c r="J39" s="10" t="s">
        <v>166</v>
      </c>
      <c r="K39" s="10" t="s">
        <v>166</v>
      </c>
      <c r="L39" s="10" t="s">
        <v>52</v>
      </c>
      <c r="M39" s="12" t="s">
        <v>16</v>
      </c>
      <c r="N39" s="13" t="s">
        <v>167</v>
      </c>
      <c r="O39" s="11" t="s">
        <v>239</v>
      </c>
    </row>
    <row r="40" customFormat="false" ht="15" hidden="false" customHeight="false" outlineLevel="0" collapsed="false">
      <c r="A40" s="10" t="s">
        <v>159</v>
      </c>
      <c r="B40" s="10" t="s">
        <v>240</v>
      </c>
      <c r="C40" s="10" t="s">
        <v>241</v>
      </c>
      <c r="D40" s="10" t="s">
        <v>209</v>
      </c>
      <c r="E40" s="10" t="s">
        <v>210</v>
      </c>
      <c r="F40" s="11"/>
      <c r="G40" s="10" t="s">
        <v>24</v>
      </c>
      <c r="H40" s="10" t="s">
        <v>193</v>
      </c>
      <c r="I40" s="10" t="s">
        <v>242</v>
      </c>
      <c r="J40" s="10" t="s">
        <v>243</v>
      </c>
      <c r="K40" s="10" t="s">
        <v>244</v>
      </c>
      <c r="L40" s="10" t="s">
        <v>195</v>
      </c>
      <c r="M40" s="12" t="s">
        <v>16</v>
      </c>
      <c r="N40" s="13" t="s">
        <v>196</v>
      </c>
      <c r="O40" s="11" t="s">
        <v>245</v>
      </c>
    </row>
    <row r="41" customFormat="false" ht="15" hidden="false" customHeight="false" outlineLevel="0" collapsed="false">
      <c r="A41" s="10" t="s">
        <v>159</v>
      </c>
      <c r="B41" s="10" t="s">
        <v>246</v>
      </c>
      <c r="C41" s="10" t="s">
        <v>247</v>
      </c>
      <c r="D41" s="10" t="s">
        <v>248</v>
      </c>
      <c r="E41" s="10" t="s">
        <v>49</v>
      </c>
      <c r="F41" s="11"/>
      <c r="G41" s="10" t="s">
        <v>24</v>
      </c>
      <c r="H41" s="10" t="s">
        <v>249</v>
      </c>
      <c r="I41" s="10" t="s">
        <v>250</v>
      </c>
      <c r="J41" s="10" t="s">
        <v>50</v>
      </c>
      <c r="K41" s="10" t="s">
        <v>51</v>
      </c>
      <c r="L41" s="10" t="s">
        <v>127</v>
      </c>
      <c r="M41" s="12" t="s">
        <v>16</v>
      </c>
      <c r="N41" s="13" t="s">
        <v>53</v>
      </c>
      <c r="O41" s="11" t="s">
        <v>251</v>
      </c>
    </row>
    <row r="42" customFormat="false" ht="23.85" hidden="false" customHeight="false" outlineLevel="0" collapsed="false">
      <c r="A42" s="10" t="s">
        <v>159</v>
      </c>
      <c r="B42" s="10" t="s">
        <v>252</v>
      </c>
      <c r="C42" s="10" t="s">
        <v>253</v>
      </c>
      <c r="D42" s="10" t="s">
        <v>65</v>
      </c>
      <c r="E42" s="10" t="s">
        <v>254</v>
      </c>
      <c r="F42" s="11"/>
      <c r="G42" s="10" t="s">
        <v>24</v>
      </c>
      <c r="H42" s="10" t="s">
        <v>255</v>
      </c>
      <c r="I42" s="10" t="s">
        <v>252</v>
      </c>
      <c r="J42" s="10" t="s">
        <v>256</v>
      </c>
      <c r="K42" s="10" t="s">
        <v>256</v>
      </c>
      <c r="L42" s="10" t="s">
        <v>127</v>
      </c>
      <c r="M42" s="12" t="s">
        <v>16</v>
      </c>
      <c r="N42" s="13" t="s">
        <v>257</v>
      </c>
      <c r="O42" s="11" t="s">
        <v>258</v>
      </c>
    </row>
    <row r="43" customFormat="false" ht="23.85" hidden="false" customHeight="false" outlineLevel="0" collapsed="false">
      <c r="A43" s="10" t="s">
        <v>159</v>
      </c>
      <c r="B43" s="10" t="s">
        <v>259</v>
      </c>
      <c r="C43" s="10" t="s">
        <v>260</v>
      </c>
      <c r="D43" s="10" t="s">
        <v>65</v>
      </c>
      <c r="E43" s="10" t="s">
        <v>254</v>
      </c>
      <c r="F43" s="11" t="s">
        <v>261</v>
      </c>
      <c r="G43" s="10" t="s">
        <v>24</v>
      </c>
      <c r="H43" s="10" t="s">
        <v>255</v>
      </c>
      <c r="I43" s="10" t="s">
        <v>262</v>
      </c>
      <c r="J43" s="10" t="s">
        <v>256</v>
      </c>
      <c r="K43" s="10" t="s">
        <v>256</v>
      </c>
      <c r="L43" s="10" t="s">
        <v>127</v>
      </c>
      <c r="M43" s="12" t="s">
        <v>16</v>
      </c>
      <c r="N43" s="13" t="s">
        <v>257</v>
      </c>
      <c r="O43" s="11" t="s">
        <v>263</v>
      </c>
    </row>
    <row r="44" customFormat="false" ht="23.85" hidden="false" customHeight="false" outlineLevel="0" collapsed="false">
      <c r="A44" s="10" t="s">
        <v>159</v>
      </c>
      <c r="B44" s="10" t="s">
        <v>264</v>
      </c>
      <c r="C44" s="10" t="s">
        <v>265</v>
      </c>
      <c r="D44" s="10" t="s">
        <v>65</v>
      </c>
      <c r="E44" s="10" t="s">
        <v>254</v>
      </c>
      <c r="F44" s="11"/>
      <c r="G44" s="14" t="s">
        <v>112</v>
      </c>
      <c r="H44" s="10" t="s">
        <v>113</v>
      </c>
      <c r="I44" s="10" t="s">
        <v>113</v>
      </c>
      <c r="J44" s="10" t="s">
        <v>114</v>
      </c>
      <c r="K44" s="10" t="s">
        <v>112</v>
      </c>
      <c r="L44" s="10" t="s">
        <v>52</v>
      </c>
      <c r="M44" s="12" t="s">
        <v>16</v>
      </c>
      <c r="N44" s="13" t="s">
        <v>116</v>
      </c>
      <c r="O44" s="11" t="s">
        <v>266</v>
      </c>
    </row>
    <row r="45" customFormat="false" ht="35.05" hidden="false" customHeight="false" outlineLevel="0" collapsed="false">
      <c r="A45" s="10" t="s">
        <v>159</v>
      </c>
      <c r="B45" s="10" t="s">
        <v>267</v>
      </c>
      <c r="C45" s="10" t="s">
        <v>268</v>
      </c>
      <c r="D45" s="10" t="s">
        <v>65</v>
      </c>
      <c r="E45" s="10" t="s">
        <v>103</v>
      </c>
      <c r="F45" s="11" t="s">
        <v>269</v>
      </c>
      <c r="G45" s="10" t="s">
        <v>24</v>
      </c>
      <c r="H45" s="10" t="s">
        <v>255</v>
      </c>
      <c r="I45" s="10" t="s">
        <v>270</v>
      </c>
      <c r="J45" s="10" t="s">
        <v>256</v>
      </c>
      <c r="K45" s="10" t="s">
        <v>256</v>
      </c>
      <c r="L45" s="10" t="s">
        <v>127</v>
      </c>
      <c r="M45" s="15" t="s">
        <v>18</v>
      </c>
      <c r="N45" s="13" t="s">
        <v>257</v>
      </c>
      <c r="O45" s="11" t="s">
        <v>271</v>
      </c>
    </row>
    <row r="46" customFormat="false" ht="23.85" hidden="false" customHeight="false" outlineLevel="0" collapsed="false">
      <c r="A46" s="10" t="s">
        <v>159</v>
      </c>
      <c r="B46" s="10" t="s">
        <v>272</v>
      </c>
      <c r="C46" s="10" t="s">
        <v>273</v>
      </c>
      <c r="D46" s="10" t="s">
        <v>65</v>
      </c>
      <c r="E46" s="10" t="s">
        <v>103</v>
      </c>
      <c r="F46" s="11"/>
      <c r="G46" s="10" t="s">
        <v>24</v>
      </c>
      <c r="H46" s="10" t="s">
        <v>255</v>
      </c>
      <c r="I46" s="10" t="s">
        <v>274</v>
      </c>
      <c r="J46" s="10" t="s">
        <v>256</v>
      </c>
      <c r="K46" s="10" t="s">
        <v>256</v>
      </c>
      <c r="L46" s="10" t="s">
        <v>127</v>
      </c>
      <c r="M46" s="15" t="s">
        <v>18</v>
      </c>
      <c r="N46" s="13" t="s">
        <v>257</v>
      </c>
      <c r="O46" s="11" t="s">
        <v>275</v>
      </c>
    </row>
    <row r="47" customFormat="false" ht="15" hidden="false" customHeight="false" outlineLevel="0" collapsed="false">
      <c r="A47" s="10" t="s">
        <v>159</v>
      </c>
      <c r="B47" s="10" t="s">
        <v>276</v>
      </c>
      <c r="C47" s="10" t="s">
        <v>277</v>
      </c>
      <c r="D47" s="10" t="s">
        <v>71</v>
      </c>
      <c r="E47" s="10" t="s">
        <v>49</v>
      </c>
      <c r="F47" s="11" t="s">
        <v>278</v>
      </c>
      <c r="G47" s="10" t="s">
        <v>24</v>
      </c>
      <c r="H47" s="10" t="s">
        <v>279</v>
      </c>
      <c r="I47" s="10" t="s">
        <v>280</v>
      </c>
      <c r="J47" s="10" t="s">
        <v>50</v>
      </c>
      <c r="K47" s="10" t="s">
        <v>51</v>
      </c>
      <c r="L47" s="10" t="s">
        <v>81</v>
      </c>
      <c r="M47" s="12" t="s">
        <v>16</v>
      </c>
      <c r="N47" s="13" t="s">
        <v>53</v>
      </c>
      <c r="O47" s="11"/>
    </row>
    <row r="48" customFormat="false" ht="15" hidden="false" customHeight="false" outlineLevel="0" collapsed="false">
      <c r="A48" s="10" t="s">
        <v>159</v>
      </c>
      <c r="B48" s="10" t="s">
        <v>281</v>
      </c>
      <c r="C48" s="10" t="s">
        <v>282</v>
      </c>
      <c r="D48" s="10" t="s">
        <v>48</v>
      </c>
      <c r="E48" s="10" t="s">
        <v>49</v>
      </c>
      <c r="F48" s="11"/>
      <c r="G48" s="10" t="s">
        <v>24</v>
      </c>
      <c r="H48" s="10" t="s">
        <v>279</v>
      </c>
      <c r="I48" s="10" t="s">
        <v>283</v>
      </c>
      <c r="J48" s="10" t="s">
        <v>50</v>
      </c>
      <c r="K48" s="10" t="s">
        <v>51</v>
      </c>
      <c r="L48" s="10" t="s">
        <v>81</v>
      </c>
      <c r="M48" s="12" t="s">
        <v>16</v>
      </c>
      <c r="N48" s="13" t="s">
        <v>53</v>
      </c>
      <c r="O48" s="11" t="s">
        <v>284</v>
      </c>
    </row>
    <row r="49" customFormat="false" ht="15" hidden="false" customHeight="false" outlineLevel="0" collapsed="false">
      <c r="A49" s="10" t="s">
        <v>159</v>
      </c>
      <c r="B49" s="10" t="s">
        <v>285</v>
      </c>
      <c r="C49" s="10" t="s">
        <v>286</v>
      </c>
      <c r="D49" s="10" t="s">
        <v>140</v>
      </c>
      <c r="E49" s="10" t="s">
        <v>141</v>
      </c>
      <c r="F49" s="11"/>
      <c r="G49" s="10" t="s">
        <v>24</v>
      </c>
      <c r="H49" s="10" t="s">
        <v>279</v>
      </c>
      <c r="I49" s="10" t="s">
        <v>287</v>
      </c>
      <c r="J49" s="10" t="s">
        <v>50</v>
      </c>
      <c r="K49" s="10" t="s">
        <v>51</v>
      </c>
      <c r="L49" s="10" t="s">
        <v>144</v>
      </c>
      <c r="M49" s="12" t="s">
        <v>16</v>
      </c>
      <c r="N49" s="13" t="s">
        <v>53</v>
      </c>
      <c r="O49" s="11" t="s">
        <v>288</v>
      </c>
    </row>
    <row r="50" customFormat="false" ht="15" hidden="false" customHeight="false" outlineLevel="0" collapsed="false">
      <c r="A50" s="10" t="s">
        <v>159</v>
      </c>
      <c r="B50" s="10" t="s">
        <v>289</v>
      </c>
      <c r="C50" s="10" t="s">
        <v>290</v>
      </c>
      <c r="D50" s="10" t="s">
        <v>65</v>
      </c>
      <c r="E50" s="10" t="s">
        <v>291</v>
      </c>
      <c r="F50" s="11"/>
      <c r="G50" s="10" t="s">
        <v>24</v>
      </c>
      <c r="H50" s="10" t="s">
        <v>292</v>
      </c>
      <c r="I50" s="10" t="s">
        <v>293</v>
      </c>
      <c r="J50" s="10" t="s">
        <v>50</v>
      </c>
      <c r="K50" s="10" t="s">
        <v>51</v>
      </c>
      <c r="L50" s="10" t="s">
        <v>81</v>
      </c>
      <c r="M50" s="12" t="s">
        <v>16</v>
      </c>
      <c r="N50" s="13" t="s">
        <v>53</v>
      </c>
      <c r="O50" s="11" t="s">
        <v>294</v>
      </c>
    </row>
    <row r="51" customFormat="false" ht="15" hidden="false" customHeight="false" outlineLevel="0" collapsed="false">
      <c r="A51" s="10" t="s">
        <v>159</v>
      </c>
      <c r="B51" s="10" t="s">
        <v>295</v>
      </c>
      <c r="C51" s="10" t="s">
        <v>296</v>
      </c>
      <c r="D51" s="10" t="s">
        <v>76</v>
      </c>
      <c r="E51" s="10" t="s">
        <v>297</v>
      </c>
      <c r="F51" s="11"/>
      <c r="G51" s="10" t="s">
        <v>24</v>
      </c>
      <c r="H51" s="10" t="s">
        <v>292</v>
      </c>
      <c r="I51" s="10" t="s">
        <v>298</v>
      </c>
      <c r="J51" s="10" t="s">
        <v>50</v>
      </c>
      <c r="K51" s="10" t="s">
        <v>51</v>
      </c>
      <c r="L51" s="10" t="s">
        <v>81</v>
      </c>
      <c r="M51" s="12" t="s">
        <v>16</v>
      </c>
      <c r="N51" s="13" t="s">
        <v>53</v>
      </c>
      <c r="O51" s="11" t="s">
        <v>299</v>
      </c>
    </row>
    <row r="52" customFormat="false" ht="15" hidden="false" customHeight="false" outlineLevel="0" collapsed="false">
      <c r="A52" s="10" t="s">
        <v>159</v>
      </c>
      <c r="B52" s="10" t="s">
        <v>300</v>
      </c>
      <c r="C52" s="10" t="s">
        <v>301</v>
      </c>
      <c r="D52" s="10" t="s">
        <v>76</v>
      </c>
      <c r="E52" s="10" t="s">
        <v>77</v>
      </c>
      <c r="F52" s="11"/>
      <c r="G52" s="10" t="s">
        <v>24</v>
      </c>
      <c r="H52" s="10" t="s">
        <v>302</v>
      </c>
      <c r="I52" s="10" t="s">
        <v>303</v>
      </c>
      <c r="J52" s="10" t="s">
        <v>50</v>
      </c>
      <c r="K52" s="10" t="s">
        <v>51</v>
      </c>
      <c r="L52" s="10" t="s">
        <v>81</v>
      </c>
      <c r="M52" s="12" t="s">
        <v>16</v>
      </c>
      <c r="N52" s="13" t="s">
        <v>53</v>
      </c>
      <c r="O52" s="11" t="s">
        <v>304</v>
      </c>
    </row>
    <row r="53" customFormat="false" ht="15" hidden="false" customHeight="false" outlineLevel="0" collapsed="false">
      <c r="A53" s="10" t="s">
        <v>159</v>
      </c>
      <c r="B53" s="10" t="s">
        <v>305</v>
      </c>
      <c r="C53" s="10" t="s">
        <v>306</v>
      </c>
      <c r="D53" s="10" t="s">
        <v>76</v>
      </c>
      <c r="E53" s="10" t="s">
        <v>77</v>
      </c>
      <c r="F53" s="11"/>
      <c r="G53" s="14" t="s">
        <v>112</v>
      </c>
      <c r="H53" s="10" t="s">
        <v>113</v>
      </c>
      <c r="I53" s="10" t="s">
        <v>113</v>
      </c>
      <c r="J53" s="10" t="s">
        <v>114</v>
      </c>
      <c r="K53" s="10" t="s">
        <v>112</v>
      </c>
      <c r="L53" s="10" t="s">
        <v>115</v>
      </c>
      <c r="M53" s="12" t="s">
        <v>16</v>
      </c>
      <c r="N53" s="13" t="s">
        <v>116</v>
      </c>
      <c r="O53" s="11" t="s">
        <v>307</v>
      </c>
    </row>
    <row r="54" customFormat="false" ht="15" hidden="false" customHeight="false" outlineLevel="0" collapsed="false">
      <c r="A54" s="10" t="s">
        <v>308</v>
      </c>
      <c r="B54" s="10" t="s">
        <v>153</v>
      </c>
      <c r="C54" s="10" t="s">
        <v>309</v>
      </c>
      <c r="D54" s="10" t="s">
        <v>48</v>
      </c>
      <c r="E54" s="10" t="s">
        <v>162</v>
      </c>
      <c r="F54" s="11" t="s">
        <v>310</v>
      </c>
      <c r="G54" s="10" t="s">
        <v>24</v>
      </c>
      <c r="H54" s="10" t="s">
        <v>311</v>
      </c>
      <c r="I54" s="10" t="s">
        <v>153</v>
      </c>
      <c r="J54" s="10" t="s">
        <v>79</v>
      </c>
      <c r="K54" s="10" t="s">
        <v>80</v>
      </c>
      <c r="L54" s="10" t="s">
        <v>195</v>
      </c>
      <c r="M54" s="12" t="s">
        <v>16</v>
      </c>
      <c r="N54" s="13" t="s">
        <v>82</v>
      </c>
      <c r="O54" s="11"/>
    </row>
    <row r="55" customFormat="false" ht="15" hidden="false" customHeight="false" outlineLevel="0" collapsed="false">
      <c r="A55" s="10" t="s">
        <v>308</v>
      </c>
      <c r="B55" s="10" t="s">
        <v>140</v>
      </c>
      <c r="C55" s="10" t="s">
        <v>312</v>
      </c>
      <c r="D55" s="10" t="s">
        <v>140</v>
      </c>
      <c r="E55" s="10" t="s">
        <v>141</v>
      </c>
      <c r="F55" s="11"/>
      <c r="G55" s="10" t="s">
        <v>24</v>
      </c>
      <c r="H55" s="10" t="s">
        <v>311</v>
      </c>
      <c r="I55" s="10" t="s">
        <v>313</v>
      </c>
      <c r="J55" s="10" t="s">
        <v>79</v>
      </c>
      <c r="K55" s="10" t="s">
        <v>80</v>
      </c>
      <c r="L55" s="10" t="s">
        <v>195</v>
      </c>
      <c r="M55" s="15" t="s">
        <v>18</v>
      </c>
      <c r="N55" s="13" t="s">
        <v>82</v>
      </c>
      <c r="O55" s="11" t="s">
        <v>314</v>
      </c>
    </row>
    <row r="56" customFormat="false" ht="15" hidden="false" customHeight="false" outlineLevel="0" collapsed="false">
      <c r="A56" s="10" t="s">
        <v>308</v>
      </c>
      <c r="B56" s="10" t="s">
        <v>315</v>
      </c>
      <c r="C56" s="10" t="s">
        <v>316</v>
      </c>
      <c r="D56" s="10" t="s">
        <v>48</v>
      </c>
      <c r="E56" s="10" t="s">
        <v>49</v>
      </c>
      <c r="F56" s="11" t="s">
        <v>317</v>
      </c>
      <c r="G56" s="10" t="s">
        <v>24</v>
      </c>
      <c r="H56" s="10" t="s">
        <v>311</v>
      </c>
      <c r="I56" s="10" t="s">
        <v>315</v>
      </c>
      <c r="J56" s="10" t="s">
        <v>50</v>
      </c>
      <c r="K56" s="10" t="s">
        <v>51</v>
      </c>
      <c r="L56" s="10" t="s">
        <v>195</v>
      </c>
      <c r="M56" s="12" t="s">
        <v>16</v>
      </c>
      <c r="N56" s="13" t="s">
        <v>53</v>
      </c>
      <c r="O56" s="11"/>
    </row>
    <row r="57" customFormat="false" ht="15" hidden="false" customHeight="false" outlineLevel="0" collapsed="false">
      <c r="A57" s="10" t="s">
        <v>308</v>
      </c>
      <c r="B57" s="10" t="s">
        <v>186</v>
      </c>
      <c r="C57" s="10" t="s">
        <v>318</v>
      </c>
      <c r="D57" s="10" t="s">
        <v>71</v>
      </c>
      <c r="E57" s="10" t="s">
        <v>49</v>
      </c>
      <c r="F57" s="11" t="s">
        <v>188</v>
      </c>
      <c r="G57" s="10" t="s">
        <v>24</v>
      </c>
      <c r="H57" s="10" t="s">
        <v>311</v>
      </c>
      <c r="I57" s="10" t="s">
        <v>319</v>
      </c>
      <c r="J57" s="10" t="s">
        <v>50</v>
      </c>
      <c r="K57" s="10" t="s">
        <v>51</v>
      </c>
      <c r="L57" s="10" t="s">
        <v>195</v>
      </c>
      <c r="M57" s="12" t="s">
        <v>16</v>
      </c>
      <c r="N57" s="13" t="s">
        <v>53</v>
      </c>
      <c r="O57" s="11"/>
    </row>
    <row r="58" customFormat="false" ht="15" hidden="false" customHeight="false" outlineLevel="0" collapsed="false">
      <c r="A58" s="10" t="s">
        <v>308</v>
      </c>
      <c r="B58" s="10" t="s">
        <v>198</v>
      </c>
      <c r="C58" s="10" t="s">
        <v>320</v>
      </c>
      <c r="D58" s="10" t="s">
        <v>76</v>
      </c>
      <c r="E58" s="10" t="s">
        <v>77</v>
      </c>
      <c r="F58" s="11"/>
      <c r="G58" s="14" t="s">
        <v>112</v>
      </c>
      <c r="H58" s="10" t="s">
        <v>113</v>
      </c>
      <c r="I58" s="10" t="s">
        <v>113</v>
      </c>
      <c r="J58" s="10" t="s">
        <v>114</v>
      </c>
      <c r="K58" s="10" t="s">
        <v>112</v>
      </c>
      <c r="L58" s="10" t="s">
        <v>115</v>
      </c>
      <c r="M58" s="12" t="s">
        <v>16</v>
      </c>
      <c r="N58" s="13" t="s">
        <v>116</v>
      </c>
      <c r="O58" s="11" t="s">
        <v>321</v>
      </c>
    </row>
    <row r="59" customFormat="false" ht="35.05" hidden="false" customHeight="false" outlineLevel="0" collapsed="false">
      <c r="A59" s="10" t="s">
        <v>308</v>
      </c>
      <c r="B59" s="10" t="s">
        <v>322</v>
      </c>
      <c r="C59" s="10" t="s">
        <v>323</v>
      </c>
      <c r="D59" s="10" t="s">
        <v>76</v>
      </c>
      <c r="E59" s="10" t="s">
        <v>77</v>
      </c>
      <c r="F59" s="11" t="s">
        <v>324</v>
      </c>
      <c r="G59" s="10" t="s">
        <v>24</v>
      </c>
      <c r="H59" s="10" t="s">
        <v>311</v>
      </c>
      <c r="I59" s="10" t="s">
        <v>325</v>
      </c>
      <c r="J59" s="10" t="s">
        <v>50</v>
      </c>
      <c r="K59" s="10" t="s">
        <v>51</v>
      </c>
      <c r="L59" s="10" t="s">
        <v>195</v>
      </c>
      <c r="M59" s="12" t="s">
        <v>16</v>
      </c>
      <c r="N59" s="13" t="s">
        <v>196</v>
      </c>
      <c r="O59" s="11" t="s">
        <v>326</v>
      </c>
    </row>
    <row r="60" customFormat="false" ht="23.85" hidden="false" customHeight="false" outlineLevel="0" collapsed="false">
      <c r="A60" s="10" t="s">
        <v>308</v>
      </c>
      <c r="B60" s="10" t="s">
        <v>327</v>
      </c>
      <c r="C60" s="10" t="s">
        <v>328</v>
      </c>
      <c r="D60" s="10" t="s">
        <v>76</v>
      </c>
      <c r="E60" s="10" t="s">
        <v>77</v>
      </c>
      <c r="F60" s="11" t="s">
        <v>329</v>
      </c>
      <c r="G60" s="10" t="s">
        <v>24</v>
      </c>
      <c r="H60" s="10" t="s">
        <v>311</v>
      </c>
      <c r="I60" s="10" t="s">
        <v>330</v>
      </c>
      <c r="J60" s="10" t="s">
        <v>50</v>
      </c>
      <c r="K60" s="10" t="s">
        <v>51</v>
      </c>
      <c r="L60" s="10" t="s">
        <v>195</v>
      </c>
      <c r="M60" s="12" t="s">
        <v>16</v>
      </c>
      <c r="N60" s="13" t="s">
        <v>196</v>
      </c>
      <c r="O60" s="11" t="s">
        <v>331</v>
      </c>
    </row>
    <row r="61" customFormat="false" ht="15" hidden="false" customHeight="false" outlineLevel="0" collapsed="false">
      <c r="A61" s="10" t="s">
        <v>308</v>
      </c>
      <c r="B61" s="10" t="s">
        <v>332</v>
      </c>
      <c r="C61" s="10" t="s">
        <v>333</v>
      </c>
      <c r="D61" s="10" t="s">
        <v>76</v>
      </c>
      <c r="E61" s="10" t="s">
        <v>77</v>
      </c>
      <c r="F61" s="11" t="s">
        <v>334</v>
      </c>
      <c r="G61" s="10" t="s">
        <v>24</v>
      </c>
      <c r="H61" s="10" t="s">
        <v>311</v>
      </c>
      <c r="I61" s="10" t="s">
        <v>335</v>
      </c>
      <c r="J61" s="10" t="s">
        <v>243</v>
      </c>
      <c r="K61" s="10" t="s">
        <v>336</v>
      </c>
      <c r="L61" s="10" t="s">
        <v>195</v>
      </c>
      <c r="M61" s="12" t="s">
        <v>16</v>
      </c>
      <c r="N61" s="13" t="s">
        <v>196</v>
      </c>
      <c r="O61" s="11" t="s">
        <v>337</v>
      </c>
    </row>
    <row r="62" customFormat="false" ht="23.85" hidden="false" customHeight="false" outlineLevel="0" collapsed="false">
      <c r="A62" s="10" t="s">
        <v>308</v>
      </c>
      <c r="B62" s="10" t="s">
        <v>338</v>
      </c>
      <c r="C62" s="10" t="s">
        <v>339</v>
      </c>
      <c r="D62" s="10" t="s">
        <v>76</v>
      </c>
      <c r="E62" s="10" t="s">
        <v>340</v>
      </c>
      <c r="F62" s="11" t="s">
        <v>97</v>
      </c>
      <c r="G62" s="10" t="s">
        <v>24</v>
      </c>
      <c r="H62" s="10" t="s">
        <v>311</v>
      </c>
      <c r="I62" s="10" t="s">
        <v>341</v>
      </c>
      <c r="J62" s="10" t="s">
        <v>50</v>
      </c>
      <c r="K62" s="10" t="s">
        <v>51</v>
      </c>
      <c r="L62" s="10" t="s">
        <v>195</v>
      </c>
      <c r="M62" s="12" t="s">
        <v>16</v>
      </c>
      <c r="N62" s="13" t="s">
        <v>196</v>
      </c>
      <c r="O62" s="11" t="s">
        <v>342</v>
      </c>
    </row>
    <row r="63" customFormat="false" ht="15" hidden="false" customHeight="false" outlineLevel="0" collapsed="false">
      <c r="A63" s="10" t="s">
        <v>308</v>
      </c>
      <c r="B63" s="10" t="s">
        <v>343</v>
      </c>
      <c r="C63" s="10" t="s">
        <v>344</v>
      </c>
      <c r="D63" s="10" t="s">
        <v>48</v>
      </c>
      <c r="E63" s="10" t="s">
        <v>49</v>
      </c>
      <c r="F63" s="11" t="s">
        <v>345</v>
      </c>
      <c r="G63" s="10" t="s">
        <v>24</v>
      </c>
      <c r="H63" s="10" t="s">
        <v>311</v>
      </c>
      <c r="I63" s="10" t="s">
        <v>346</v>
      </c>
      <c r="J63" s="10" t="s">
        <v>50</v>
      </c>
      <c r="K63" s="10" t="s">
        <v>51</v>
      </c>
      <c r="L63" s="10" t="s">
        <v>195</v>
      </c>
      <c r="M63" s="12" t="s">
        <v>16</v>
      </c>
      <c r="N63" s="13" t="s">
        <v>53</v>
      </c>
      <c r="O63" s="11"/>
    </row>
    <row r="64" customFormat="false" ht="15" hidden="false" customHeight="false" outlineLevel="0" collapsed="false">
      <c r="A64" s="10" t="s">
        <v>308</v>
      </c>
      <c r="B64" s="10" t="s">
        <v>157</v>
      </c>
      <c r="C64" s="10" t="s">
        <v>347</v>
      </c>
      <c r="D64" s="10" t="s">
        <v>48</v>
      </c>
      <c r="E64" s="10" t="s">
        <v>49</v>
      </c>
      <c r="F64" s="11"/>
      <c r="G64" s="10" t="s">
        <v>24</v>
      </c>
      <c r="H64" s="10" t="s">
        <v>311</v>
      </c>
      <c r="I64" s="10" t="s">
        <v>157</v>
      </c>
      <c r="J64" s="10" t="s">
        <v>50</v>
      </c>
      <c r="K64" s="10" t="s">
        <v>51</v>
      </c>
      <c r="L64" s="10" t="s">
        <v>195</v>
      </c>
      <c r="M64" s="12" t="s">
        <v>16</v>
      </c>
      <c r="N64" s="13" t="s">
        <v>53</v>
      </c>
      <c r="O64" s="11"/>
    </row>
    <row r="65" customFormat="false" ht="15" hidden="false" customHeight="false" outlineLevel="0" collapsed="false">
      <c r="A65" s="10" t="s">
        <v>348</v>
      </c>
      <c r="B65" s="10" t="s">
        <v>153</v>
      </c>
      <c r="C65" s="10" t="s">
        <v>349</v>
      </c>
      <c r="D65" s="10" t="s">
        <v>48</v>
      </c>
      <c r="E65" s="10" t="s">
        <v>162</v>
      </c>
      <c r="F65" s="11" t="s">
        <v>310</v>
      </c>
      <c r="G65" s="10" t="s">
        <v>24</v>
      </c>
      <c r="H65" s="10" t="s">
        <v>350</v>
      </c>
      <c r="I65" s="10" t="s">
        <v>153</v>
      </c>
      <c r="J65" s="10" t="s">
        <v>351</v>
      </c>
      <c r="K65" s="10" t="s">
        <v>80</v>
      </c>
      <c r="L65" s="10" t="s">
        <v>352</v>
      </c>
      <c r="M65" s="12" t="s">
        <v>16</v>
      </c>
      <c r="N65" s="13" t="s">
        <v>353</v>
      </c>
      <c r="O65" s="11"/>
    </row>
    <row r="66" customFormat="false" ht="35.05" hidden="false" customHeight="false" outlineLevel="0" collapsed="false">
      <c r="A66" s="10" t="s">
        <v>348</v>
      </c>
      <c r="B66" s="10" t="s">
        <v>140</v>
      </c>
      <c r="C66" s="10" t="s">
        <v>354</v>
      </c>
      <c r="D66" s="10" t="s">
        <v>140</v>
      </c>
      <c r="E66" s="10" t="s">
        <v>141</v>
      </c>
      <c r="F66" s="11"/>
      <c r="G66" s="10" t="s">
        <v>24</v>
      </c>
      <c r="H66" s="10" t="s">
        <v>350</v>
      </c>
      <c r="I66" s="10" t="s">
        <v>355</v>
      </c>
      <c r="J66" s="10" t="s">
        <v>351</v>
      </c>
      <c r="K66" s="10" t="s">
        <v>80</v>
      </c>
      <c r="L66" s="10" t="s">
        <v>352</v>
      </c>
      <c r="M66" s="12" t="s">
        <v>16</v>
      </c>
      <c r="N66" s="13" t="s">
        <v>353</v>
      </c>
      <c r="O66" s="11" t="s">
        <v>356</v>
      </c>
    </row>
    <row r="67" customFormat="false" ht="46.25" hidden="false" customHeight="false" outlineLevel="0" collapsed="false">
      <c r="A67" s="10" t="s">
        <v>348</v>
      </c>
      <c r="B67" s="10" t="s">
        <v>201</v>
      </c>
      <c r="C67" s="10" t="s">
        <v>357</v>
      </c>
      <c r="D67" s="10" t="s">
        <v>76</v>
      </c>
      <c r="E67" s="10" t="s">
        <v>77</v>
      </c>
      <c r="F67" s="11" t="s">
        <v>358</v>
      </c>
      <c r="G67" s="10" t="s">
        <v>24</v>
      </c>
      <c r="H67" s="10" t="s">
        <v>350</v>
      </c>
      <c r="I67" s="10" t="s">
        <v>201</v>
      </c>
      <c r="J67" s="10" t="s">
        <v>351</v>
      </c>
      <c r="K67" s="10" t="s">
        <v>80</v>
      </c>
      <c r="L67" s="10" t="s">
        <v>352</v>
      </c>
      <c r="M67" s="12" t="s">
        <v>16</v>
      </c>
      <c r="N67" s="13" t="s">
        <v>353</v>
      </c>
      <c r="O67" s="11" t="s">
        <v>359</v>
      </c>
    </row>
    <row r="68" customFormat="false" ht="46.25" hidden="false" customHeight="false" outlineLevel="0" collapsed="false">
      <c r="A68" s="10" t="s">
        <v>348</v>
      </c>
      <c r="B68" s="10" t="s">
        <v>360</v>
      </c>
      <c r="C68" s="10" t="s">
        <v>361</v>
      </c>
      <c r="D68" s="10" t="s">
        <v>71</v>
      </c>
      <c r="E68" s="10" t="s">
        <v>49</v>
      </c>
      <c r="F68" s="11" t="s">
        <v>362</v>
      </c>
      <c r="G68" s="10" t="s">
        <v>24</v>
      </c>
      <c r="H68" s="10" t="s">
        <v>350</v>
      </c>
      <c r="I68" s="10" t="s">
        <v>363</v>
      </c>
      <c r="J68" s="10" t="s">
        <v>351</v>
      </c>
      <c r="K68" s="10" t="s">
        <v>80</v>
      </c>
      <c r="L68" s="10" t="s">
        <v>352</v>
      </c>
      <c r="M68" s="12" t="s">
        <v>16</v>
      </c>
      <c r="N68" s="13" t="s">
        <v>353</v>
      </c>
      <c r="O68" s="11" t="s">
        <v>364</v>
      </c>
    </row>
    <row r="69" customFormat="false" ht="35.05" hidden="false" customHeight="false" outlineLevel="0" collapsed="false">
      <c r="A69" s="10" t="s">
        <v>348</v>
      </c>
      <c r="B69" s="10" t="s">
        <v>365</v>
      </c>
      <c r="C69" s="10" t="s">
        <v>366</v>
      </c>
      <c r="D69" s="10" t="s">
        <v>48</v>
      </c>
      <c r="E69" s="10" t="s">
        <v>49</v>
      </c>
      <c r="F69" s="11"/>
      <c r="G69" s="10" t="s">
        <v>24</v>
      </c>
      <c r="H69" s="10" t="s">
        <v>350</v>
      </c>
      <c r="I69" s="10" t="s">
        <v>367</v>
      </c>
      <c r="J69" s="10" t="s">
        <v>351</v>
      </c>
      <c r="K69" s="10" t="s">
        <v>80</v>
      </c>
      <c r="L69" s="10" t="s">
        <v>352</v>
      </c>
      <c r="M69" s="12" t="s">
        <v>16</v>
      </c>
      <c r="N69" s="13" t="s">
        <v>353</v>
      </c>
      <c r="O69" s="11" t="s">
        <v>368</v>
      </c>
    </row>
    <row r="70" customFormat="false" ht="15" hidden="false" customHeight="false" outlineLevel="0" collapsed="false">
      <c r="A70" s="10" t="s">
        <v>348</v>
      </c>
      <c r="B70" s="10" t="s">
        <v>369</v>
      </c>
      <c r="C70" s="10" t="s">
        <v>370</v>
      </c>
      <c r="D70" s="10" t="s">
        <v>48</v>
      </c>
      <c r="E70" s="10" t="s">
        <v>91</v>
      </c>
      <c r="F70" s="11"/>
      <c r="G70" s="10" t="s">
        <v>24</v>
      </c>
      <c r="H70" s="10" t="s">
        <v>350</v>
      </c>
      <c r="I70" s="10" t="s">
        <v>369</v>
      </c>
      <c r="J70" s="10" t="s">
        <v>351</v>
      </c>
      <c r="K70" s="10" t="s">
        <v>80</v>
      </c>
      <c r="L70" s="10" t="s">
        <v>352</v>
      </c>
      <c r="M70" s="12" t="s">
        <v>16</v>
      </c>
      <c r="N70" s="13" t="s">
        <v>353</v>
      </c>
      <c r="O70" s="11" t="s">
        <v>371</v>
      </c>
    </row>
    <row r="71" customFormat="false" ht="15" hidden="false" customHeight="false" outlineLevel="0" collapsed="false">
      <c r="A71" s="10" t="s">
        <v>372</v>
      </c>
      <c r="B71" s="10" t="s">
        <v>153</v>
      </c>
      <c r="C71" s="10" t="s">
        <v>373</v>
      </c>
      <c r="D71" s="10" t="s">
        <v>48</v>
      </c>
      <c r="E71" s="10" t="s">
        <v>162</v>
      </c>
      <c r="F71" s="11" t="s">
        <v>310</v>
      </c>
      <c r="G71" s="10" t="s">
        <v>24</v>
      </c>
      <c r="H71" s="10" t="s">
        <v>255</v>
      </c>
      <c r="I71" s="10" t="s">
        <v>153</v>
      </c>
      <c r="J71" s="10" t="s">
        <v>256</v>
      </c>
      <c r="K71" s="10" t="s">
        <v>256</v>
      </c>
      <c r="L71" s="10" t="s">
        <v>127</v>
      </c>
      <c r="M71" s="12" t="s">
        <v>16</v>
      </c>
      <c r="N71" s="13" t="s">
        <v>257</v>
      </c>
      <c r="O71" s="11"/>
    </row>
    <row r="72" customFormat="false" ht="35.05" hidden="false" customHeight="false" outlineLevel="0" collapsed="false">
      <c r="A72" s="10" t="s">
        <v>372</v>
      </c>
      <c r="B72" s="10" t="s">
        <v>374</v>
      </c>
      <c r="C72" s="10" t="s">
        <v>375</v>
      </c>
      <c r="D72" s="10" t="s">
        <v>48</v>
      </c>
      <c r="E72" s="10" t="s">
        <v>124</v>
      </c>
      <c r="F72" s="11"/>
      <c r="G72" s="10" t="s">
        <v>24</v>
      </c>
      <c r="H72" s="10" t="s">
        <v>255</v>
      </c>
      <c r="I72" s="10" t="s">
        <v>126</v>
      </c>
      <c r="J72" s="10" t="s">
        <v>256</v>
      </c>
      <c r="K72" s="10" t="s">
        <v>256</v>
      </c>
      <c r="L72" s="10" t="s">
        <v>127</v>
      </c>
      <c r="M72" s="12" t="s">
        <v>16</v>
      </c>
      <c r="N72" s="13" t="s">
        <v>128</v>
      </c>
      <c r="O72" s="11" t="s">
        <v>376</v>
      </c>
    </row>
    <row r="73" customFormat="false" ht="46.25" hidden="false" customHeight="false" outlineLevel="0" collapsed="false">
      <c r="A73" s="10" t="s">
        <v>372</v>
      </c>
      <c r="B73" s="10" t="s">
        <v>377</v>
      </c>
      <c r="C73" s="10" t="s">
        <v>378</v>
      </c>
      <c r="D73" s="10" t="s">
        <v>76</v>
      </c>
      <c r="E73" s="10" t="s">
        <v>379</v>
      </c>
      <c r="F73" s="11"/>
      <c r="G73" s="10" t="s">
        <v>24</v>
      </c>
      <c r="H73" s="10" t="s">
        <v>255</v>
      </c>
      <c r="I73" s="10" t="s">
        <v>377</v>
      </c>
      <c r="J73" s="10" t="s">
        <v>256</v>
      </c>
      <c r="K73" s="10" t="s">
        <v>256</v>
      </c>
      <c r="L73" s="10" t="s">
        <v>127</v>
      </c>
      <c r="M73" s="12" t="s">
        <v>16</v>
      </c>
      <c r="N73" s="13" t="s">
        <v>257</v>
      </c>
      <c r="O73" s="11" t="s">
        <v>380</v>
      </c>
    </row>
    <row r="74" customFormat="false" ht="15" hidden="false" customHeight="false" outlineLevel="0" collapsed="false">
      <c r="A74" s="10" t="s">
        <v>372</v>
      </c>
      <c r="B74" s="10" t="s">
        <v>381</v>
      </c>
      <c r="C74" s="10" t="s">
        <v>382</v>
      </c>
      <c r="D74" s="10" t="s">
        <v>76</v>
      </c>
      <c r="E74" s="10" t="s">
        <v>383</v>
      </c>
      <c r="F74" s="11" t="s">
        <v>384</v>
      </c>
      <c r="G74" s="10" t="s">
        <v>24</v>
      </c>
      <c r="H74" s="10" t="s">
        <v>255</v>
      </c>
      <c r="I74" s="10" t="s">
        <v>385</v>
      </c>
      <c r="J74" s="10" t="s">
        <v>256</v>
      </c>
      <c r="K74" s="10" t="s">
        <v>256</v>
      </c>
      <c r="L74" s="10" t="s">
        <v>127</v>
      </c>
      <c r="M74" s="12" t="s">
        <v>16</v>
      </c>
      <c r="N74" s="13" t="s">
        <v>257</v>
      </c>
      <c r="O74" s="11" t="s">
        <v>386</v>
      </c>
    </row>
    <row r="75" customFormat="false" ht="15" hidden="false" customHeight="false" outlineLevel="0" collapsed="false">
      <c r="A75" s="10" t="s">
        <v>372</v>
      </c>
      <c r="B75" s="10" t="s">
        <v>387</v>
      </c>
      <c r="C75" s="10" t="s">
        <v>388</v>
      </c>
      <c r="D75" s="10" t="s">
        <v>76</v>
      </c>
      <c r="E75" s="10" t="s">
        <v>77</v>
      </c>
      <c r="F75" s="11"/>
      <c r="G75" s="10" t="s">
        <v>24</v>
      </c>
      <c r="H75" s="10" t="s">
        <v>255</v>
      </c>
      <c r="I75" s="10" t="s">
        <v>389</v>
      </c>
      <c r="J75" s="10" t="s">
        <v>256</v>
      </c>
      <c r="K75" s="10" t="s">
        <v>256</v>
      </c>
      <c r="L75" s="10" t="s">
        <v>127</v>
      </c>
      <c r="M75" s="12" t="s">
        <v>16</v>
      </c>
      <c r="N75" s="13" t="s">
        <v>257</v>
      </c>
      <c r="O75" s="11"/>
    </row>
    <row r="76" customFormat="false" ht="15" hidden="false" customHeight="false" outlineLevel="0" collapsed="false">
      <c r="A76" s="10" t="s">
        <v>372</v>
      </c>
      <c r="B76" s="10" t="s">
        <v>390</v>
      </c>
      <c r="C76" s="10" t="s">
        <v>391</v>
      </c>
      <c r="D76" s="10" t="s">
        <v>65</v>
      </c>
      <c r="E76" s="10" t="s">
        <v>291</v>
      </c>
      <c r="F76" s="11" t="s">
        <v>392</v>
      </c>
      <c r="G76" s="14" t="s">
        <v>112</v>
      </c>
      <c r="H76" s="10" t="s">
        <v>113</v>
      </c>
      <c r="I76" s="10" t="s">
        <v>113</v>
      </c>
      <c r="J76" s="10" t="s">
        <v>114</v>
      </c>
      <c r="K76" s="10" t="s">
        <v>112</v>
      </c>
      <c r="L76" s="10" t="s">
        <v>127</v>
      </c>
      <c r="M76" s="12" t="s">
        <v>16</v>
      </c>
      <c r="N76" s="13" t="s">
        <v>116</v>
      </c>
      <c r="O76" s="11" t="s">
        <v>393</v>
      </c>
    </row>
    <row r="77" customFormat="false" ht="15" hidden="false" customHeight="false" outlineLevel="0" collapsed="false">
      <c r="A77" s="10" t="s">
        <v>394</v>
      </c>
      <c r="B77" s="10" t="s">
        <v>395</v>
      </c>
      <c r="C77" s="10" t="s">
        <v>396</v>
      </c>
      <c r="D77" s="10" t="s">
        <v>48</v>
      </c>
      <c r="E77" s="10" t="s">
        <v>49</v>
      </c>
      <c r="F77" s="11"/>
      <c r="G77" s="10" t="s">
        <v>24</v>
      </c>
      <c r="H77" s="10" t="s">
        <v>397</v>
      </c>
      <c r="I77" s="10" t="s">
        <v>395</v>
      </c>
      <c r="J77" s="10" t="s">
        <v>50</v>
      </c>
      <c r="K77" s="10" t="s">
        <v>51</v>
      </c>
      <c r="L77" s="10" t="s">
        <v>81</v>
      </c>
      <c r="M77" s="12" t="s">
        <v>16</v>
      </c>
      <c r="N77" s="13" t="s">
        <v>53</v>
      </c>
      <c r="O77" s="11"/>
    </row>
    <row r="78" customFormat="false" ht="15" hidden="false" customHeight="false" outlineLevel="0" collapsed="false">
      <c r="A78" s="10" t="s">
        <v>394</v>
      </c>
      <c r="B78" s="10" t="s">
        <v>398</v>
      </c>
      <c r="C78" s="10" t="s">
        <v>399</v>
      </c>
      <c r="D78" s="10" t="s">
        <v>140</v>
      </c>
      <c r="E78" s="10" t="s">
        <v>141</v>
      </c>
      <c r="F78" s="11"/>
      <c r="G78" s="10" t="s">
        <v>24</v>
      </c>
      <c r="H78" s="10" t="s">
        <v>397</v>
      </c>
      <c r="I78" s="10" t="s">
        <v>400</v>
      </c>
      <c r="J78" s="10" t="s">
        <v>50</v>
      </c>
      <c r="K78" s="10" t="s">
        <v>51</v>
      </c>
      <c r="L78" s="10" t="s">
        <v>81</v>
      </c>
      <c r="M78" s="12" t="s">
        <v>16</v>
      </c>
      <c r="N78" s="13" t="s">
        <v>53</v>
      </c>
      <c r="O78" s="11"/>
    </row>
    <row r="79" customFormat="false" ht="15" hidden="false" customHeight="false" outlineLevel="0" collapsed="false">
      <c r="A79" s="10" t="s">
        <v>394</v>
      </c>
      <c r="B79" s="10" t="s">
        <v>401</v>
      </c>
      <c r="C79" s="10" t="s">
        <v>402</v>
      </c>
      <c r="D79" s="10" t="s">
        <v>71</v>
      </c>
      <c r="E79" s="10" t="s">
        <v>49</v>
      </c>
      <c r="F79" s="11" t="s">
        <v>403</v>
      </c>
      <c r="G79" s="10" t="s">
        <v>24</v>
      </c>
      <c r="H79" s="10" t="s">
        <v>397</v>
      </c>
      <c r="I79" s="10" t="s">
        <v>401</v>
      </c>
      <c r="J79" s="10" t="s">
        <v>50</v>
      </c>
      <c r="K79" s="10" t="s">
        <v>51</v>
      </c>
      <c r="L79" s="10" t="s">
        <v>127</v>
      </c>
      <c r="M79" s="12" t="s">
        <v>16</v>
      </c>
      <c r="N79" s="13" t="s">
        <v>53</v>
      </c>
      <c r="O79" s="11"/>
    </row>
    <row r="80" customFormat="false" ht="15" hidden="false" customHeight="false" outlineLevel="0" collapsed="false">
      <c r="A80" s="10" t="s">
        <v>404</v>
      </c>
      <c r="B80" s="10" t="s">
        <v>49</v>
      </c>
      <c r="C80" s="10" t="s">
        <v>405</v>
      </c>
      <c r="D80" s="10" t="s">
        <v>48</v>
      </c>
      <c r="E80" s="10" t="s">
        <v>49</v>
      </c>
      <c r="F80" s="11"/>
      <c r="G80" s="10" t="s">
        <v>24</v>
      </c>
      <c r="H80" s="10" t="s">
        <v>406</v>
      </c>
      <c r="I80" s="10" t="s">
        <v>407</v>
      </c>
      <c r="J80" s="10" t="s">
        <v>50</v>
      </c>
      <c r="K80" s="10" t="s">
        <v>51</v>
      </c>
      <c r="L80" s="10" t="s">
        <v>195</v>
      </c>
      <c r="M80" s="12" t="s">
        <v>16</v>
      </c>
      <c r="N80" s="13" t="s">
        <v>53</v>
      </c>
      <c r="O80" s="11" t="s">
        <v>408</v>
      </c>
    </row>
    <row r="81" customFormat="false" ht="15" hidden="false" customHeight="false" outlineLevel="0" collapsed="false">
      <c r="A81" s="10" t="s">
        <v>404</v>
      </c>
      <c r="B81" s="10" t="s">
        <v>401</v>
      </c>
      <c r="C81" s="10" t="s">
        <v>409</v>
      </c>
      <c r="D81" s="10" t="s">
        <v>71</v>
      </c>
      <c r="E81" s="10" t="s">
        <v>49</v>
      </c>
      <c r="F81" s="11" t="s">
        <v>410</v>
      </c>
      <c r="G81" s="10" t="s">
        <v>24</v>
      </c>
      <c r="H81" s="10" t="s">
        <v>406</v>
      </c>
      <c r="I81" s="10" t="s">
        <v>401</v>
      </c>
      <c r="J81" s="10" t="s">
        <v>50</v>
      </c>
      <c r="K81" s="10" t="s">
        <v>51</v>
      </c>
      <c r="L81" s="10" t="s">
        <v>127</v>
      </c>
      <c r="M81" s="12" t="s">
        <v>16</v>
      </c>
      <c r="N81" s="13" t="s">
        <v>53</v>
      </c>
      <c r="O81" s="11" t="s">
        <v>411</v>
      </c>
    </row>
    <row r="82" customFormat="false" ht="15" hidden="false" customHeight="false" outlineLevel="0" collapsed="false">
      <c r="A82" s="10" t="s">
        <v>412</v>
      </c>
      <c r="B82" s="10" t="s">
        <v>413</v>
      </c>
      <c r="C82" s="10" t="s">
        <v>414</v>
      </c>
      <c r="D82" s="10" t="s">
        <v>48</v>
      </c>
      <c r="E82" s="10" t="s">
        <v>49</v>
      </c>
      <c r="F82" s="11" t="s">
        <v>415</v>
      </c>
      <c r="G82" s="10" t="s">
        <v>24</v>
      </c>
      <c r="H82" s="10" t="s">
        <v>416</v>
      </c>
      <c r="I82" s="10" t="s">
        <v>417</v>
      </c>
      <c r="J82" s="10" t="s">
        <v>50</v>
      </c>
      <c r="K82" s="10" t="s">
        <v>51</v>
      </c>
      <c r="L82" s="10" t="s">
        <v>81</v>
      </c>
      <c r="M82" s="12" t="s">
        <v>16</v>
      </c>
      <c r="N82" s="13" t="s">
        <v>53</v>
      </c>
      <c r="O82" s="11" t="s">
        <v>418</v>
      </c>
    </row>
    <row r="83" customFormat="false" ht="15" hidden="false" customHeight="false" outlineLevel="0" collapsed="false">
      <c r="A83" s="10" t="s">
        <v>412</v>
      </c>
      <c r="B83" s="10" t="s">
        <v>149</v>
      </c>
      <c r="C83" s="10" t="s">
        <v>419</v>
      </c>
      <c r="D83" s="10" t="s">
        <v>76</v>
      </c>
      <c r="E83" s="10" t="s">
        <v>77</v>
      </c>
      <c r="F83" s="11"/>
      <c r="G83" s="10" t="s">
        <v>24</v>
      </c>
      <c r="H83" s="10" t="s">
        <v>416</v>
      </c>
      <c r="I83" s="10" t="s">
        <v>149</v>
      </c>
      <c r="J83" s="10" t="s">
        <v>50</v>
      </c>
      <c r="K83" s="10" t="s">
        <v>51</v>
      </c>
      <c r="L83" s="10" t="s">
        <v>81</v>
      </c>
      <c r="M83" s="12" t="s">
        <v>16</v>
      </c>
      <c r="N83" s="13" t="s">
        <v>53</v>
      </c>
      <c r="O83" s="11"/>
    </row>
    <row r="84" customFormat="false" ht="15" hidden="false" customHeight="false" outlineLevel="0" collapsed="false">
      <c r="A84" s="10" t="s">
        <v>412</v>
      </c>
      <c r="B84" s="10" t="s">
        <v>420</v>
      </c>
      <c r="C84" s="10" t="s">
        <v>421</v>
      </c>
      <c r="D84" s="10" t="s">
        <v>48</v>
      </c>
      <c r="E84" s="10" t="s">
        <v>91</v>
      </c>
      <c r="F84" s="11"/>
      <c r="G84" s="10" t="s">
        <v>24</v>
      </c>
      <c r="H84" s="10" t="s">
        <v>416</v>
      </c>
      <c r="I84" s="10" t="s">
        <v>420</v>
      </c>
      <c r="J84" s="10" t="s">
        <v>50</v>
      </c>
      <c r="K84" s="10" t="s">
        <v>51</v>
      </c>
      <c r="L84" s="10" t="s">
        <v>81</v>
      </c>
      <c r="M84" s="12" t="s">
        <v>16</v>
      </c>
      <c r="N84" s="13" t="s">
        <v>53</v>
      </c>
      <c r="O84" s="11"/>
    </row>
    <row r="85" customFormat="false" ht="23.85" hidden="false" customHeight="false" outlineLevel="0" collapsed="false">
      <c r="A85" s="10" t="s">
        <v>412</v>
      </c>
      <c r="B85" s="10" t="s">
        <v>401</v>
      </c>
      <c r="C85" s="10" t="s">
        <v>422</v>
      </c>
      <c r="D85" s="10" t="s">
        <v>71</v>
      </c>
      <c r="E85" s="10" t="s">
        <v>49</v>
      </c>
      <c r="F85" s="11" t="s">
        <v>423</v>
      </c>
      <c r="G85" s="10" t="s">
        <v>24</v>
      </c>
      <c r="H85" s="10" t="s">
        <v>416</v>
      </c>
      <c r="I85" s="10" t="s">
        <v>401</v>
      </c>
      <c r="J85" s="10" t="s">
        <v>50</v>
      </c>
      <c r="K85" s="10" t="s">
        <v>51</v>
      </c>
      <c r="L85" s="10" t="s">
        <v>127</v>
      </c>
      <c r="M85" s="12" t="s">
        <v>16</v>
      </c>
      <c r="N85" s="13" t="s">
        <v>53</v>
      </c>
      <c r="O85" s="11" t="s">
        <v>424</v>
      </c>
    </row>
    <row r="86" customFormat="false" ht="15" hidden="false" customHeight="false" outlineLevel="0" collapsed="false">
      <c r="A86" s="10" t="s">
        <v>425</v>
      </c>
      <c r="B86" s="10" t="s">
        <v>395</v>
      </c>
      <c r="C86" s="10" t="s">
        <v>426</v>
      </c>
      <c r="D86" s="10" t="s">
        <v>48</v>
      </c>
      <c r="E86" s="10" t="s">
        <v>49</v>
      </c>
      <c r="F86" s="11"/>
      <c r="G86" s="10" t="s">
        <v>24</v>
      </c>
      <c r="H86" s="10" t="s">
        <v>427</v>
      </c>
      <c r="I86" s="10" t="s">
        <v>395</v>
      </c>
      <c r="J86" s="10" t="s">
        <v>50</v>
      </c>
      <c r="K86" s="10" t="s">
        <v>51</v>
      </c>
      <c r="L86" s="10" t="s">
        <v>428</v>
      </c>
      <c r="M86" s="12" t="s">
        <v>16</v>
      </c>
      <c r="N86" s="13" t="s">
        <v>53</v>
      </c>
      <c r="O86" s="11"/>
    </row>
    <row r="87" customFormat="false" ht="15" hidden="false" customHeight="false" outlineLevel="0" collapsed="false">
      <c r="A87" s="10" t="s">
        <v>425</v>
      </c>
      <c r="B87" s="10" t="s">
        <v>398</v>
      </c>
      <c r="C87" s="10" t="s">
        <v>429</v>
      </c>
      <c r="D87" s="10" t="s">
        <v>140</v>
      </c>
      <c r="E87" s="10" t="s">
        <v>141</v>
      </c>
      <c r="F87" s="11"/>
      <c r="G87" s="10" t="s">
        <v>24</v>
      </c>
      <c r="H87" s="10" t="s">
        <v>427</v>
      </c>
      <c r="I87" s="10" t="s">
        <v>400</v>
      </c>
      <c r="J87" s="10" t="s">
        <v>50</v>
      </c>
      <c r="K87" s="10" t="s">
        <v>51</v>
      </c>
      <c r="L87" s="10" t="s">
        <v>428</v>
      </c>
      <c r="M87" s="12" t="s">
        <v>16</v>
      </c>
      <c r="N87" s="13" t="s">
        <v>53</v>
      </c>
      <c r="O87" s="11"/>
    </row>
    <row r="88" customFormat="false" ht="15" hidden="false" customHeight="false" outlineLevel="0" collapsed="false">
      <c r="A88" s="10" t="s">
        <v>425</v>
      </c>
      <c r="B88" s="10" t="s">
        <v>430</v>
      </c>
      <c r="C88" s="10" t="s">
        <v>431</v>
      </c>
      <c r="D88" s="10" t="s">
        <v>209</v>
      </c>
      <c r="E88" s="10" t="s">
        <v>432</v>
      </c>
      <c r="F88" s="11"/>
      <c r="G88" s="10" t="s">
        <v>24</v>
      </c>
      <c r="H88" s="10" t="s">
        <v>427</v>
      </c>
      <c r="I88" s="10" t="s">
        <v>433</v>
      </c>
      <c r="J88" s="10" t="s">
        <v>50</v>
      </c>
      <c r="K88" s="10" t="s">
        <v>51</v>
      </c>
      <c r="L88" s="10" t="s">
        <v>428</v>
      </c>
      <c r="M88" s="12" t="s">
        <v>16</v>
      </c>
      <c r="N88" s="13" t="s">
        <v>53</v>
      </c>
      <c r="O88" s="11" t="s">
        <v>434</v>
      </c>
    </row>
    <row r="89" customFormat="false" ht="15" hidden="false" customHeight="false" outlineLevel="0" collapsed="false">
      <c r="A89" s="10" t="s">
        <v>435</v>
      </c>
      <c r="B89" s="10" t="s">
        <v>160</v>
      </c>
      <c r="C89" s="10" t="s">
        <v>436</v>
      </c>
      <c r="D89" s="10" t="s">
        <v>48</v>
      </c>
      <c r="E89" s="10" t="s">
        <v>437</v>
      </c>
      <c r="F89" s="11" t="s">
        <v>163</v>
      </c>
      <c r="G89" s="10" t="s">
        <v>24</v>
      </c>
      <c r="H89" s="10" t="s">
        <v>438</v>
      </c>
      <c r="I89" s="10" t="s">
        <v>439</v>
      </c>
      <c r="J89" s="10" t="s">
        <v>50</v>
      </c>
      <c r="K89" s="10" t="s">
        <v>51</v>
      </c>
      <c r="L89" s="10" t="s">
        <v>52</v>
      </c>
      <c r="M89" s="12" t="s">
        <v>16</v>
      </c>
      <c r="N89" s="13" t="s">
        <v>53</v>
      </c>
      <c r="O89" s="11"/>
    </row>
    <row r="90" customFormat="false" ht="15" hidden="false" customHeight="false" outlineLevel="0" collapsed="false">
      <c r="A90" s="10" t="s">
        <v>435</v>
      </c>
      <c r="B90" s="10" t="s">
        <v>46</v>
      </c>
      <c r="C90" s="10" t="s">
        <v>440</v>
      </c>
      <c r="D90" s="10" t="s">
        <v>48</v>
      </c>
      <c r="E90" s="10" t="s">
        <v>49</v>
      </c>
      <c r="F90" s="11"/>
      <c r="G90" s="10" t="s">
        <v>24</v>
      </c>
      <c r="H90" s="10" t="s">
        <v>438</v>
      </c>
      <c r="I90" s="10" t="s">
        <v>46</v>
      </c>
      <c r="J90" s="10" t="s">
        <v>50</v>
      </c>
      <c r="K90" s="10" t="s">
        <v>51</v>
      </c>
      <c r="L90" s="10" t="s">
        <v>52</v>
      </c>
      <c r="M90" s="12" t="s">
        <v>16</v>
      </c>
      <c r="N90" s="13" t="s">
        <v>53</v>
      </c>
      <c r="O90" s="11"/>
    </row>
    <row r="91" customFormat="false" ht="15" hidden="false" customHeight="false" outlineLevel="0" collapsed="false">
      <c r="A91" s="10" t="s">
        <v>435</v>
      </c>
      <c r="B91" s="10" t="s">
        <v>441</v>
      </c>
      <c r="C91" s="10" t="s">
        <v>442</v>
      </c>
      <c r="D91" s="10" t="s">
        <v>48</v>
      </c>
      <c r="E91" s="10" t="s">
        <v>49</v>
      </c>
      <c r="F91" s="11"/>
      <c r="G91" s="10" t="s">
        <v>24</v>
      </c>
      <c r="H91" s="10" t="s">
        <v>438</v>
      </c>
      <c r="I91" s="10" t="s">
        <v>443</v>
      </c>
      <c r="J91" s="10" t="s">
        <v>50</v>
      </c>
      <c r="K91" s="10" t="s">
        <v>51</v>
      </c>
      <c r="L91" s="10" t="s">
        <v>52</v>
      </c>
      <c r="M91" s="12" t="s">
        <v>16</v>
      </c>
      <c r="N91" s="13" t="s">
        <v>53</v>
      </c>
      <c r="O91" s="11" t="s">
        <v>444</v>
      </c>
    </row>
    <row r="92" customFormat="false" ht="15" hidden="false" customHeight="false" outlineLevel="0" collapsed="false">
      <c r="A92" s="10" t="s">
        <v>435</v>
      </c>
      <c r="B92" s="10" t="s">
        <v>445</v>
      </c>
      <c r="C92" s="10" t="s">
        <v>446</v>
      </c>
      <c r="D92" s="10" t="s">
        <v>71</v>
      </c>
      <c r="E92" s="10" t="s">
        <v>49</v>
      </c>
      <c r="F92" s="11" t="s">
        <v>447</v>
      </c>
      <c r="G92" s="10" t="s">
        <v>24</v>
      </c>
      <c r="H92" s="10" t="s">
        <v>438</v>
      </c>
      <c r="I92" s="10" t="s">
        <v>445</v>
      </c>
      <c r="J92" s="10" t="s">
        <v>50</v>
      </c>
      <c r="K92" s="10" t="s">
        <v>51</v>
      </c>
      <c r="L92" s="10" t="s">
        <v>52</v>
      </c>
      <c r="M92" s="12" t="s">
        <v>16</v>
      </c>
      <c r="N92" s="13" t="s">
        <v>53</v>
      </c>
      <c r="O92" s="11" t="s">
        <v>448</v>
      </c>
    </row>
    <row r="93" customFormat="false" ht="15" hidden="false" customHeight="false" outlineLevel="0" collapsed="false">
      <c r="A93" s="10" t="s">
        <v>435</v>
      </c>
      <c r="B93" s="10" t="s">
        <v>63</v>
      </c>
      <c r="C93" s="10" t="s">
        <v>449</v>
      </c>
      <c r="D93" s="10" t="s">
        <v>65</v>
      </c>
      <c r="E93" s="10" t="s">
        <v>66</v>
      </c>
      <c r="F93" s="11"/>
      <c r="G93" s="10" t="s">
        <v>24</v>
      </c>
      <c r="H93" s="10" t="s">
        <v>438</v>
      </c>
      <c r="I93" s="10" t="s">
        <v>180</v>
      </c>
      <c r="J93" s="10" t="s">
        <v>50</v>
      </c>
      <c r="K93" s="10" t="s">
        <v>51</v>
      </c>
      <c r="L93" s="10" t="s">
        <v>52</v>
      </c>
      <c r="M93" s="12" t="s">
        <v>16</v>
      </c>
      <c r="N93" s="13" t="s">
        <v>53</v>
      </c>
      <c r="O93" s="11"/>
    </row>
    <row r="94" customFormat="false" ht="15" hidden="false" customHeight="false" outlineLevel="0" collapsed="false">
      <c r="A94" s="10" t="s">
        <v>435</v>
      </c>
      <c r="B94" s="10" t="s">
        <v>84</v>
      </c>
      <c r="C94" s="10" t="s">
        <v>450</v>
      </c>
      <c r="D94" s="10" t="s">
        <v>76</v>
      </c>
      <c r="E94" s="10" t="s">
        <v>77</v>
      </c>
      <c r="F94" s="11"/>
      <c r="G94" s="10" t="s">
        <v>24</v>
      </c>
      <c r="H94" s="10" t="s">
        <v>438</v>
      </c>
      <c r="I94" s="10" t="s">
        <v>84</v>
      </c>
      <c r="J94" s="10" t="s">
        <v>79</v>
      </c>
      <c r="K94" s="10" t="s">
        <v>80</v>
      </c>
      <c r="L94" s="10" t="s">
        <v>52</v>
      </c>
      <c r="M94" s="12" t="s">
        <v>16</v>
      </c>
      <c r="N94" s="13" t="s">
        <v>82</v>
      </c>
      <c r="O94" s="11" t="s">
        <v>451</v>
      </c>
    </row>
    <row r="95" customFormat="false" ht="23.85" hidden="false" customHeight="false" outlineLevel="0" collapsed="false">
      <c r="A95" s="10" t="s">
        <v>435</v>
      </c>
      <c r="B95" s="10" t="s">
        <v>87</v>
      </c>
      <c r="C95" s="10" t="s">
        <v>452</v>
      </c>
      <c r="D95" s="10" t="s">
        <v>76</v>
      </c>
      <c r="E95" s="10" t="s">
        <v>77</v>
      </c>
      <c r="F95" s="11" t="s">
        <v>453</v>
      </c>
      <c r="G95" s="14" t="s">
        <v>112</v>
      </c>
      <c r="H95" s="10" t="s">
        <v>113</v>
      </c>
      <c r="I95" s="10" t="s">
        <v>113</v>
      </c>
      <c r="J95" s="10" t="s">
        <v>114</v>
      </c>
      <c r="K95" s="10" t="s">
        <v>112</v>
      </c>
      <c r="L95" s="10" t="s">
        <v>115</v>
      </c>
      <c r="M95" s="12" t="s">
        <v>16</v>
      </c>
      <c r="N95" s="13" t="s">
        <v>116</v>
      </c>
      <c r="O95" s="11" t="s">
        <v>454</v>
      </c>
    </row>
    <row r="96" customFormat="false" ht="15" hidden="false" customHeight="false" outlineLevel="0" collapsed="false">
      <c r="A96" s="10" t="s">
        <v>435</v>
      </c>
      <c r="B96" s="10" t="s">
        <v>455</v>
      </c>
      <c r="C96" s="10" t="s">
        <v>456</v>
      </c>
      <c r="D96" s="10" t="s">
        <v>76</v>
      </c>
      <c r="E96" s="10" t="s">
        <v>77</v>
      </c>
      <c r="F96" s="11"/>
      <c r="G96" s="14" t="s">
        <v>112</v>
      </c>
      <c r="H96" s="10" t="s">
        <v>113</v>
      </c>
      <c r="I96" s="10" t="s">
        <v>113</v>
      </c>
      <c r="J96" s="10" t="s">
        <v>114</v>
      </c>
      <c r="K96" s="10" t="s">
        <v>112</v>
      </c>
      <c r="L96" s="10" t="s">
        <v>115</v>
      </c>
      <c r="M96" s="12" t="s">
        <v>16</v>
      </c>
      <c r="N96" s="13" t="s">
        <v>116</v>
      </c>
      <c r="O96" s="11" t="s">
        <v>457</v>
      </c>
    </row>
    <row r="97" customFormat="false" ht="23.85" hidden="false" customHeight="false" outlineLevel="0" collapsed="false">
      <c r="A97" s="10" t="s">
        <v>435</v>
      </c>
      <c r="B97" s="10" t="s">
        <v>132</v>
      </c>
      <c r="C97" s="10" t="s">
        <v>458</v>
      </c>
      <c r="D97" s="10" t="s">
        <v>76</v>
      </c>
      <c r="E97" s="10" t="s">
        <v>77</v>
      </c>
      <c r="F97" s="11"/>
      <c r="G97" s="10" t="s">
        <v>24</v>
      </c>
      <c r="H97" s="10" t="s">
        <v>459</v>
      </c>
      <c r="I97" s="10" t="s">
        <v>132</v>
      </c>
      <c r="J97" s="10" t="s">
        <v>50</v>
      </c>
      <c r="K97" s="10" t="s">
        <v>460</v>
      </c>
      <c r="L97" s="10" t="s">
        <v>127</v>
      </c>
      <c r="M97" s="12" t="s">
        <v>16</v>
      </c>
      <c r="N97" s="13" t="s">
        <v>53</v>
      </c>
      <c r="O97" s="11" t="s">
        <v>461</v>
      </c>
    </row>
    <row r="98" customFormat="false" ht="15" hidden="false" customHeight="false" outlineLevel="0" collapsed="false">
      <c r="A98" s="10" t="s">
        <v>435</v>
      </c>
      <c r="B98" s="10" t="s">
        <v>462</v>
      </c>
      <c r="C98" s="10" t="s">
        <v>463</v>
      </c>
      <c r="D98" s="10" t="s">
        <v>209</v>
      </c>
      <c r="E98" s="10" t="s">
        <v>210</v>
      </c>
      <c r="F98" s="11"/>
      <c r="G98" s="10" t="s">
        <v>24</v>
      </c>
      <c r="H98" s="10" t="s">
        <v>438</v>
      </c>
      <c r="I98" s="10" t="s">
        <v>464</v>
      </c>
      <c r="J98" s="10" t="s">
        <v>50</v>
      </c>
      <c r="K98" s="10" t="s">
        <v>51</v>
      </c>
      <c r="L98" s="10" t="s">
        <v>52</v>
      </c>
      <c r="M98" s="12" t="s">
        <v>16</v>
      </c>
      <c r="N98" s="13" t="s">
        <v>53</v>
      </c>
      <c r="O98" s="11" t="s">
        <v>465</v>
      </c>
    </row>
    <row r="99" customFormat="false" ht="15" hidden="false" customHeight="false" outlineLevel="0" collapsed="false">
      <c r="A99" s="10" t="s">
        <v>435</v>
      </c>
      <c r="B99" s="10" t="s">
        <v>466</v>
      </c>
      <c r="C99" s="10" t="s">
        <v>467</v>
      </c>
      <c r="D99" s="10" t="s">
        <v>65</v>
      </c>
      <c r="E99" s="10" t="s">
        <v>103</v>
      </c>
      <c r="F99" s="11"/>
      <c r="G99" s="14" t="s">
        <v>112</v>
      </c>
      <c r="H99" s="10" t="s">
        <v>113</v>
      </c>
      <c r="I99" s="10" t="s">
        <v>113</v>
      </c>
      <c r="J99" s="10" t="s">
        <v>114</v>
      </c>
      <c r="K99" s="10" t="s">
        <v>112</v>
      </c>
      <c r="L99" s="10" t="s">
        <v>115</v>
      </c>
      <c r="M99" s="12" t="s">
        <v>16</v>
      </c>
      <c r="N99" s="13" t="s">
        <v>116</v>
      </c>
      <c r="O99" s="11" t="s">
        <v>468</v>
      </c>
    </row>
    <row r="100" customFormat="false" ht="15" hidden="false" customHeight="false" outlineLevel="0" collapsed="false">
      <c r="A100" s="10" t="s">
        <v>435</v>
      </c>
      <c r="B100" s="10" t="s">
        <v>469</v>
      </c>
      <c r="C100" s="10" t="s">
        <v>470</v>
      </c>
      <c r="D100" s="10" t="s">
        <v>65</v>
      </c>
      <c r="E100" s="10" t="s">
        <v>103</v>
      </c>
      <c r="F100" s="11"/>
      <c r="G100" s="14" t="s">
        <v>112</v>
      </c>
      <c r="H100" s="10" t="s">
        <v>113</v>
      </c>
      <c r="I100" s="10" t="s">
        <v>113</v>
      </c>
      <c r="J100" s="10" t="s">
        <v>114</v>
      </c>
      <c r="K100" s="10" t="s">
        <v>112</v>
      </c>
      <c r="L100" s="10" t="s">
        <v>115</v>
      </c>
      <c r="M100" s="12" t="s">
        <v>16</v>
      </c>
      <c r="N100" s="13" t="s">
        <v>116</v>
      </c>
      <c r="O100" s="11" t="s">
        <v>471</v>
      </c>
    </row>
    <row r="101" customFormat="false" ht="23.85" hidden="false" customHeight="false" outlineLevel="0" collapsed="false">
      <c r="A101" s="10" t="s">
        <v>435</v>
      </c>
      <c r="B101" s="10" t="s">
        <v>472</v>
      </c>
      <c r="C101" s="10" t="s">
        <v>473</v>
      </c>
      <c r="D101" s="10" t="s">
        <v>76</v>
      </c>
      <c r="E101" s="10" t="s">
        <v>77</v>
      </c>
      <c r="F101" s="11"/>
      <c r="G101" s="14" t="s">
        <v>112</v>
      </c>
      <c r="H101" s="10" t="s">
        <v>113</v>
      </c>
      <c r="I101" s="10" t="s">
        <v>113</v>
      </c>
      <c r="J101" s="10" t="s">
        <v>114</v>
      </c>
      <c r="K101" s="10" t="s">
        <v>112</v>
      </c>
      <c r="L101" s="10" t="s">
        <v>115</v>
      </c>
      <c r="M101" s="12" t="s">
        <v>16</v>
      </c>
      <c r="N101" s="13" t="s">
        <v>116</v>
      </c>
      <c r="O101" s="11" t="s">
        <v>474</v>
      </c>
    </row>
    <row r="102" customFormat="false" ht="15" hidden="false" customHeight="false" outlineLevel="0" collapsed="false">
      <c r="A102" s="10" t="s">
        <v>435</v>
      </c>
      <c r="B102" s="10" t="s">
        <v>475</v>
      </c>
      <c r="C102" s="10" t="s">
        <v>476</v>
      </c>
      <c r="D102" s="10" t="s">
        <v>209</v>
      </c>
      <c r="E102" s="10" t="s">
        <v>210</v>
      </c>
      <c r="F102" s="11"/>
      <c r="G102" s="10" t="s">
        <v>24</v>
      </c>
      <c r="H102" s="10" t="s">
        <v>438</v>
      </c>
      <c r="I102" s="10" t="s">
        <v>477</v>
      </c>
      <c r="J102" s="10" t="s">
        <v>50</v>
      </c>
      <c r="K102" s="10" t="s">
        <v>51</v>
      </c>
      <c r="L102" s="10" t="s">
        <v>99</v>
      </c>
      <c r="M102" s="12" t="s">
        <v>16</v>
      </c>
      <c r="N102" s="13" t="s">
        <v>53</v>
      </c>
      <c r="O102" s="11" t="s">
        <v>478</v>
      </c>
    </row>
    <row r="103" customFormat="false" ht="15" hidden="false" customHeight="false" outlineLevel="0" collapsed="false">
      <c r="A103" s="10" t="s">
        <v>435</v>
      </c>
      <c r="B103" s="10" t="s">
        <v>479</v>
      </c>
      <c r="C103" s="10" t="s">
        <v>480</v>
      </c>
      <c r="D103" s="10" t="s">
        <v>140</v>
      </c>
      <c r="E103" s="10" t="s">
        <v>141</v>
      </c>
      <c r="F103" s="11" t="s">
        <v>334</v>
      </c>
      <c r="G103" s="10" t="s">
        <v>24</v>
      </c>
      <c r="H103" s="10" t="s">
        <v>438</v>
      </c>
      <c r="I103" s="10" t="s">
        <v>481</v>
      </c>
      <c r="J103" s="10" t="s">
        <v>50</v>
      </c>
      <c r="K103" s="10" t="s">
        <v>482</v>
      </c>
      <c r="L103" s="10" t="s">
        <v>144</v>
      </c>
      <c r="M103" s="12" t="s">
        <v>16</v>
      </c>
      <c r="N103" s="13" t="s">
        <v>53</v>
      </c>
      <c r="O103" s="11" t="s">
        <v>483</v>
      </c>
    </row>
    <row r="104" customFormat="false" ht="15" hidden="false" customHeight="false" outlineLevel="0" collapsed="false">
      <c r="A104" s="10" t="s">
        <v>435</v>
      </c>
      <c r="B104" s="10" t="s">
        <v>484</v>
      </c>
      <c r="C104" s="10" t="s">
        <v>485</v>
      </c>
      <c r="D104" s="10" t="s">
        <v>140</v>
      </c>
      <c r="E104" s="10" t="s">
        <v>141</v>
      </c>
      <c r="F104" s="11"/>
      <c r="G104" s="10" t="s">
        <v>24</v>
      </c>
      <c r="H104" s="10" t="s">
        <v>438</v>
      </c>
      <c r="I104" s="10" t="s">
        <v>486</v>
      </c>
      <c r="J104" s="10" t="s">
        <v>50</v>
      </c>
      <c r="K104" s="10" t="s">
        <v>482</v>
      </c>
      <c r="L104" s="10" t="s">
        <v>99</v>
      </c>
      <c r="M104" s="12" t="s">
        <v>16</v>
      </c>
      <c r="N104" s="13" t="s">
        <v>53</v>
      </c>
      <c r="O104" s="11"/>
    </row>
    <row r="105" customFormat="false" ht="15" hidden="false" customHeight="false" outlineLevel="0" collapsed="false">
      <c r="A105" s="10" t="s">
        <v>435</v>
      </c>
      <c r="B105" s="10" t="s">
        <v>487</v>
      </c>
      <c r="C105" s="10" t="s">
        <v>488</v>
      </c>
      <c r="D105" s="10" t="s">
        <v>48</v>
      </c>
      <c r="E105" s="10" t="s">
        <v>49</v>
      </c>
      <c r="F105" s="11"/>
      <c r="G105" s="10" t="s">
        <v>24</v>
      </c>
      <c r="H105" s="10" t="s">
        <v>438</v>
      </c>
      <c r="I105" s="10" t="s">
        <v>489</v>
      </c>
      <c r="J105" s="10" t="s">
        <v>166</v>
      </c>
      <c r="K105" s="10" t="s">
        <v>166</v>
      </c>
      <c r="L105" s="10" t="s">
        <v>81</v>
      </c>
      <c r="M105" s="12" t="s">
        <v>16</v>
      </c>
      <c r="N105" s="13" t="s">
        <v>167</v>
      </c>
      <c r="O105" s="11" t="s">
        <v>490</v>
      </c>
    </row>
    <row r="106" customFormat="false" ht="15" hidden="false" customHeight="false" outlineLevel="0" collapsed="false">
      <c r="A106" s="10" t="s">
        <v>435</v>
      </c>
      <c r="B106" s="10" t="s">
        <v>369</v>
      </c>
      <c r="C106" s="10" t="s">
        <v>491</v>
      </c>
      <c r="D106" s="10" t="s">
        <v>48</v>
      </c>
      <c r="E106" s="10" t="s">
        <v>91</v>
      </c>
      <c r="F106" s="11"/>
      <c r="G106" s="10" t="s">
        <v>24</v>
      </c>
      <c r="H106" s="10" t="s">
        <v>438</v>
      </c>
      <c r="I106" s="10" t="s">
        <v>369</v>
      </c>
      <c r="J106" s="10" t="s">
        <v>50</v>
      </c>
      <c r="K106" s="10" t="s">
        <v>51</v>
      </c>
      <c r="L106" s="10" t="s">
        <v>81</v>
      </c>
      <c r="M106" s="12" t="s">
        <v>16</v>
      </c>
      <c r="N106" s="13" t="s">
        <v>53</v>
      </c>
      <c r="O106" s="11" t="s">
        <v>492</v>
      </c>
    </row>
    <row r="107" customFormat="false" ht="15" hidden="false" customHeight="false" outlineLevel="0" collapsed="false">
      <c r="A107" s="10" t="s">
        <v>493</v>
      </c>
      <c r="B107" s="10" t="s">
        <v>140</v>
      </c>
      <c r="C107" s="10" t="s">
        <v>494</v>
      </c>
      <c r="D107" s="10" t="s">
        <v>140</v>
      </c>
      <c r="E107" s="10" t="s">
        <v>141</v>
      </c>
      <c r="F107" s="11"/>
      <c r="G107" s="10" t="s">
        <v>24</v>
      </c>
      <c r="H107" s="10" t="s">
        <v>142</v>
      </c>
      <c r="I107" s="10" t="s">
        <v>143</v>
      </c>
      <c r="J107" s="10" t="s">
        <v>79</v>
      </c>
      <c r="K107" s="10" t="s">
        <v>80</v>
      </c>
      <c r="L107" s="10" t="s">
        <v>144</v>
      </c>
      <c r="M107" s="15" t="s">
        <v>18</v>
      </c>
      <c r="N107" s="13" t="s">
        <v>82</v>
      </c>
      <c r="O107" s="11" t="s">
        <v>495</v>
      </c>
    </row>
    <row r="108" customFormat="false" ht="23.85" hidden="false" customHeight="false" outlineLevel="0" collapsed="false">
      <c r="A108" s="10" t="s">
        <v>493</v>
      </c>
      <c r="B108" s="10" t="s">
        <v>149</v>
      </c>
      <c r="C108" s="10" t="s">
        <v>496</v>
      </c>
      <c r="D108" s="10" t="s">
        <v>76</v>
      </c>
      <c r="E108" s="10" t="s">
        <v>77</v>
      </c>
      <c r="F108" s="11" t="s">
        <v>497</v>
      </c>
      <c r="G108" s="10" t="s">
        <v>24</v>
      </c>
      <c r="H108" s="10" t="s">
        <v>142</v>
      </c>
      <c r="I108" s="10" t="s">
        <v>149</v>
      </c>
      <c r="J108" s="10" t="s">
        <v>79</v>
      </c>
      <c r="K108" s="10" t="s">
        <v>80</v>
      </c>
      <c r="L108" s="10" t="s">
        <v>144</v>
      </c>
      <c r="M108" s="15" t="s">
        <v>18</v>
      </c>
      <c r="N108" s="13" t="s">
        <v>82</v>
      </c>
      <c r="O108" s="11" t="s">
        <v>498</v>
      </c>
    </row>
    <row r="109" customFormat="false" ht="15" hidden="false" customHeight="false" outlineLevel="0" collapsed="false">
      <c r="A109" s="10" t="s">
        <v>499</v>
      </c>
      <c r="B109" s="10" t="s">
        <v>160</v>
      </c>
      <c r="C109" s="10" t="s">
        <v>500</v>
      </c>
      <c r="D109" s="10" t="s">
        <v>48</v>
      </c>
      <c r="E109" s="10" t="s">
        <v>501</v>
      </c>
      <c r="F109" s="11" t="s">
        <v>163</v>
      </c>
      <c r="G109" s="10" t="s">
        <v>24</v>
      </c>
      <c r="H109" s="10" t="s">
        <v>502</v>
      </c>
      <c r="I109" s="10" t="s">
        <v>503</v>
      </c>
      <c r="J109" s="10" t="s">
        <v>166</v>
      </c>
      <c r="K109" s="10" t="s">
        <v>166</v>
      </c>
      <c r="L109" s="10" t="s">
        <v>115</v>
      </c>
      <c r="M109" s="12" t="s">
        <v>16</v>
      </c>
      <c r="N109" s="13" t="s">
        <v>167</v>
      </c>
      <c r="O109" s="11" t="s">
        <v>504</v>
      </c>
    </row>
    <row r="110" customFormat="false" ht="15" hidden="false" customHeight="false" outlineLevel="0" collapsed="false">
      <c r="A110" s="10" t="s">
        <v>499</v>
      </c>
      <c r="B110" s="10" t="s">
        <v>46</v>
      </c>
      <c r="C110" s="10" t="s">
        <v>505</v>
      </c>
      <c r="D110" s="10" t="s">
        <v>48</v>
      </c>
      <c r="E110" s="10" t="s">
        <v>49</v>
      </c>
      <c r="F110" s="11"/>
      <c r="G110" s="10" t="s">
        <v>24</v>
      </c>
      <c r="H110" s="10" t="s">
        <v>502</v>
      </c>
      <c r="I110" s="10" t="s">
        <v>46</v>
      </c>
      <c r="J110" s="10" t="s">
        <v>166</v>
      </c>
      <c r="K110" s="10" t="s">
        <v>166</v>
      </c>
      <c r="L110" s="10" t="s">
        <v>115</v>
      </c>
      <c r="M110" s="12" t="s">
        <v>16</v>
      </c>
      <c r="N110" s="13" t="s">
        <v>167</v>
      </c>
      <c r="O110" s="11"/>
    </row>
    <row r="111" customFormat="false" ht="15" hidden="false" customHeight="false" outlineLevel="0" collapsed="false">
      <c r="A111" s="10" t="s">
        <v>499</v>
      </c>
      <c r="B111" s="10" t="s">
        <v>169</v>
      </c>
      <c r="C111" s="10" t="s">
        <v>506</v>
      </c>
      <c r="D111" s="10" t="s">
        <v>71</v>
      </c>
      <c r="E111" s="10" t="s">
        <v>49</v>
      </c>
      <c r="F111" s="11" t="s">
        <v>507</v>
      </c>
      <c r="G111" s="10" t="s">
        <v>24</v>
      </c>
      <c r="H111" s="10" t="s">
        <v>502</v>
      </c>
      <c r="I111" s="10" t="s">
        <v>172</v>
      </c>
      <c r="J111" s="10" t="s">
        <v>166</v>
      </c>
      <c r="K111" s="10" t="s">
        <v>166</v>
      </c>
      <c r="L111" s="10" t="s">
        <v>115</v>
      </c>
      <c r="M111" s="12" t="s">
        <v>16</v>
      </c>
      <c r="N111" s="13" t="s">
        <v>167</v>
      </c>
      <c r="O111" s="11"/>
    </row>
    <row r="112" customFormat="false" ht="35.05" hidden="false" customHeight="false" outlineLevel="0" collapsed="false">
      <c r="A112" s="10" t="s">
        <v>499</v>
      </c>
      <c r="B112" s="10" t="s">
        <v>508</v>
      </c>
      <c r="C112" s="10" t="s">
        <v>509</v>
      </c>
      <c r="D112" s="10" t="s">
        <v>71</v>
      </c>
      <c r="E112" s="10" t="s">
        <v>49</v>
      </c>
      <c r="F112" s="11" t="s">
        <v>510</v>
      </c>
      <c r="G112" s="10" t="s">
        <v>24</v>
      </c>
      <c r="H112" s="10" t="s">
        <v>502</v>
      </c>
      <c r="I112" s="10" t="s">
        <v>511</v>
      </c>
      <c r="J112" s="10" t="s">
        <v>166</v>
      </c>
      <c r="K112" s="10" t="s">
        <v>166</v>
      </c>
      <c r="L112" s="10" t="s">
        <v>115</v>
      </c>
      <c r="M112" s="12" t="s">
        <v>16</v>
      </c>
      <c r="N112" s="13" t="s">
        <v>167</v>
      </c>
      <c r="O112" s="11" t="s">
        <v>512</v>
      </c>
    </row>
    <row r="113" customFormat="false" ht="15" hidden="false" customHeight="false" outlineLevel="0" collapsed="false">
      <c r="A113" s="10" t="s">
        <v>499</v>
      </c>
      <c r="B113" s="10" t="s">
        <v>235</v>
      </c>
      <c r="C113" s="10" t="s">
        <v>513</v>
      </c>
      <c r="D113" s="10" t="s">
        <v>48</v>
      </c>
      <c r="E113" s="10" t="s">
        <v>49</v>
      </c>
      <c r="F113" s="11"/>
      <c r="G113" s="10" t="s">
        <v>24</v>
      </c>
      <c r="H113" s="10" t="s">
        <v>502</v>
      </c>
      <c r="I113" s="10" t="s">
        <v>238</v>
      </c>
      <c r="J113" s="10" t="s">
        <v>166</v>
      </c>
      <c r="K113" s="10" t="s">
        <v>166</v>
      </c>
      <c r="L113" s="10" t="s">
        <v>115</v>
      </c>
      <c r="M113" s="12" t="s">
        <v>16</v>
      </c>
      <c r="N113" s="13" t="s">
        <v>167</v>
      </c>
      <c r="O113" s="11" t="s">
        <v>514</v>
      </c>
    </row>
    <row r="114" customFormat="false" ht="23.85" hidden="false" customHeight="false" outlineLevel="0" collapsed="false">
      <c r="A114" s="10" t="s">
        <v>499</v>
      </c>
      <c r="B114" s="10" t="s">
        <v>515</v>
      </c>
      <c r="C114" s="10" t="s">
        <v>516</v>
      </c>
      <c r="D114" s="10" t="s">
        <v>76</v>
      </c>
      <c r="E114" s="10" t="s">
        <v>77</v>
      </c>
      <c r="F114" s="11"/>
      <c r="G114" s="10" t="s">
        <v>24</v>
      </c>
      <c r="H114" s="10" t="s">
        <v>502</v>
      </c>
      <c r="I114" s="10" t="s">
        <v>517</v>
      </c>
      <c r="J114" s="10" t="s">
        <v>166</v>
      </c>
      <c r="K114" s="10" t="s">
        <v>166</v>
      </c>
      <c r="L114" s="10" t="s">
        <v>115</v>
      </c>
      <c r="M114" s="12" t="s">
        <v>16</v>
      </c>
      <c r="N114" s="13" t="s">
        <v>167</v>
      </c>
      <c r="O114" s="11" t="s">
        <v>518</v>
      </c>
    </row>
    <row r="115" customFormat="false" ht="15" hidden="false" customHeight="false" outlineLevel="0" collapsed="false">
      <c r="A115" s="10" t="s">
        <v>499</v>
      </c>
      <c r="B115" s="10" t="s">
        <v>519</v>
      </c>
      <c r="C115" s="10" t="s">
        <v>520</v>
      </c>
      <c r="D115" s="10" t="s">
        <v>76</v>
      </c>
      <c r="E115" s="10" t="s">
        <v>77</v>
      </c>
      <c r="F115" s="11" t="s">
        <v>334</v>
      </c>
      <c r="G115" s="10" t="s">
        <v>24</v>
      </c>
      <c r="H115" s="10" t="s">
        <v>502</v>
      </c>
      <c r="I115" s="10" t="s">
        <v>519</v>
      </c>
      <c r="J115" s="10" t="s">
        <v>166</v>
      </c>
      <c r="K115" s="10" t="s">
        <v>166</v>
      </c>
      <c r="L115" s="10" t="s">
        <v>115</v>
      </c>
      <c r="M115" s="12" t="s">
        <v>16</v>
      </c>
      <c r="N115" s="13" t="s">
        <v>167</v>
      </c>
      <c r="O115" s="11" t="s">
        <v>521</v>
      </c>
    </row>
    <row r="116" customFormat="false" ht="15" hidden="false" customHeight="false" outlineLevel="0" collapsed="false">
      <c r="A116" s="10" t="s">
        <v>499</v>
      </c>
      <c r="B116" s="10" t="s">
        <v>522</v>
      </c>
      <c r="C116" s="10" t="s">
        <v>523</v>
      </c>
      <c r="D116" s="10" t="s">
        <v>48</v>
      </c>
      <c r="E116" s="10" t="s">
        <v>49</v>
      </c>
      <c r="F116" s="11"/>
      <c r="G116" s="10" t="s">
        <v>24</v>
      </c>
      <c r="H116" s="10" t="s">
        <v>502</v>
      </c>
      <c r="I116" s="10" t="s">
        <v>524</v>
      </c>
      <c r="J116" s="10" t="s">
        <v>166</v>
      </c>
      <c r="K116" s="10" t="s">
        <v>166</v>
      </c>
      <c r="L116" s="10" t="s">
        <v>115</v>
      </c>
      <c r="M116" s="12" t="s">
        <v>16</v>
      </c>
      <c r="N116" s="13" t="s">
        <v>167</v>
      </c>
      <c r="O116" s="11" t="s">
        <v>525</v>
      </c>
    </row>
    <row r="117" customFormat="false" ht="15" hidden="false" customHeight="false" outlineLevel="0" collapsed="false">
      <c r="A117" s="10" t="s">
        <v>499</v>
      </c>
      <c r="B117" s="10" t="s">
        <v>526</v>
      </c>
      <c r="C117" s="10" t="s">
        <v>527</v>
      </c>
      <c r="D117" s="10" t="s">
        <v>48</v>
      </c>
      <c r="E117" s="10" t="s">
        <v>49</v>
      </c>
      <c r="F117" s="11"/>
      <c r="G117" s="10" t="s">
        <v>24</v>
      </c>
      <c r="H117" s="10" t="s">
        <v>502</v>
      </c>
      <c r="I117" s="10" t="s">
        <v>528</v>
      </c>
      <c r="J117" s="10" t="s">
        <v>166</v>
      </c>
      <c r="K117" s="10" t="s">
        <v>166</v>
      </c>
      <c r="L117" s="10" t="s">
        <v>115</v>
      </c>
      <c r="M117" s="12" t="s">
        <v>16</v>
      </c>
      <c r="N117" s="13" t="s">
        <v>167</v>
      </c>
      <c r="O117" s="11"/>
    </row>
    <row r="118" customFormat="false" ht="15" hidden="false" customHeight="false" outlineLevel="0" collapsed="false">
      <c r="A118" s="10" t="s">
        <v>499</v>
      </c>
      <c r="B118" s="10" t="s">
        <v>529</v>
      </c>
      <c r="C118" s="10" t="s">
        <v>530</v>
      </c>
      <c r="D118" s="10" t="s">
        <v>140</v>
      </c>
      <c r="E118" s="10" t="s">
        <v>141</v>
      </c>
      <c r="F118" s="11"/>
      <c r="G118" s="10" t="s">
        <v>24</v>
      </c>
      <c r="H118" s="10" t="s">
        <v>502</v>
      </c>
      <c r="I118" s="10" t="s">
        <v>531</v>
      </c>
      <c r="J118" s="10" t="s">
        <v>166</v>
      </c>
      <c r="K118" s="10" t="s">
        <v>166</v>
      </c>
      <c r="L118" s="10" t="s">
        <v>115</v>
      </c>
      <c r="M118" s="12" t="s">
        <v>16</v>
      </c>
      <c r="N118" s="13" t="s">
        <v>167</v>
      </c>
      <c r="O118" s="11"/>
    </row>
    <row r="119" customFormat="false" ht="15" hidden="false" customHeight="false" outlineLevel="0" collapsed="false">
      <c r="A119" s="10" t="s">
        <v>499</v>
      </c>
      <c r="B119" s="10" t="s">
        <v>532</v>
      </c>
      <c r="C119" s="10" t="s">
        <v>533</v>
      </c>
      <c r="D119" s="10" t="s">
        <v>140</v>
      </c>
      <c r="E119" s="10" t="s">
        <v>141</v>
      </c>
      <c r="F119" s="11" t="s">
        <v>534</v>
      </c>
      <c r="G119" s="10" t="s">
        <v>24</v>
      </c>
      <c r="H119" s="10" t="s">
        <v>502</v>
      </c>
      <c r="I119" s="10" t="s">
        <v>535</v>
      </c>
      <c r="J119" s="10" t="s">
        <v>166</v>
      </c>
      <c r="K119" s="10" t="s">
        <v>166</v>
      </c>
      <c r="L119" s="10" t="s">
        <v>115</v>
      </c>
      <c r="M119" s="12" t="s">
        <v>16</v>
      </c>
      <c r="N119" s="13" t="s">
        <v>167</v>
      </c>
      <c r="O119" s="11" t="s">
        <v>536</v>
      </c>
    </row>
    <row r="120" customFormat="false" ht="15" hidden="false" customHeight="false" outlineLevel="0" collapsed="false">
      <c r="A120" s="10" t="s">
        <v>537</v>
      </c>
      <c r="B120" s="10" t="s">
        <v>46</v>
      </c>
      <c r="C120" s="10" t="s">
        <v>538</v>
      </c>
      <c r="D120" s="10" t="s">
        <v>48</v>
      </c>
      <c r="E120" s="10" t="s">
        <v>49</v>
      </c>
      <c r="F120" s="11" t="s">
        <v>539</v>
      </c>
      <c r="G120" s="10" t="s">
        <v>24</v>
      </c>
      <c r="H120" s="10" t="s">
        <v>540</v>
      </c>
      <c r="I120" s="10" t="s">
        <v>541</v>
      </c>
      <c r="J120" s="10" t="s">
        <v>50</v>
      </c>
      <c r="K120" s="10" t="s">
        <v>51</v>
      </c>
      <c r="L120" s="10" t="s">
        <v>115</v>
      </c>
      <c r="M120" s="12" t="s">
        <v>16</v>
      </c>
      <c r="N120" s="13" t="s">
        <v>167</v>
      </c>
      <c r="O120" s="11" t="s">
        <v>542</v>
      </c>
    </row>
    <row r="121" customFormat="false" ht="23.85" hidden="false" customHeight="false" outlineLevel="0" collapsed="false">
      <c r="A121" s="10" t="s">
        <v>537</v>
      </c>
      <c r="B121" s="10" t="s">
        <v>401</v>
      </c>
      <c r="C121" s="10" t="s">
        <v>543</v>
      </c>
      <c r="D121" s="10" t="s">
        <v>71</v>
      </c>
      <c r="E121" s="10" t="s">
        <v>49</v>
      </c>
      <c r="F121" s="11" t="s">
        <v>544</v>
      </c>
      <c r="G121" s="10" t="s">
        <v>24</v>
      </c>
      <c r="H121" s="10" t="s">
        <v>540</v>
      </c>
      <c r="I121" s="10" t="s">
        <v>401</v>
      </c>
      <c r="J121" s="10" t="s">
        <v>50</v>
      </c>
      <c r="K121" s="10" t="s">
        <v>51</v>
      </c>
      <c r="L121" s="10" t="s">
        <v>115</v>
      </c>
      <c r="M121" s="12" t="s">
        <v>16</v>
      </c>
      <c r="N121" s="13" t="s">
        <v>167</v>
      </c>
      <c r="O121" s="11" t="s">
        <v>545</v>
      </c>
    </row>
    <row r="122" customFormat="false" ht="15" hidden="false" customHeight="false" outlineLevel="0" collapsed="false">
      <c r="A122" s="10" t="s">
        <v>546</v>
      </c>
      <c r="B122" s="10" t="s">
        <v>547</v>
      </c>
      <c r="C122" s="10" t="s">
        <v>548</v>
      </c>
      <c r="D122" s="10" t="s">
        <v>48</v>
      </c>
      <c r="E122" s="10" t="s">
        <v>49</v>
      </c>
      <c r="F122" s="11" t="s">
        <v>415</v>
      </c>
      <c r="G122" s="10" t="s">
        <v>24</v>
      </c>
      <c r="H122" s="10" t="s">
        <v>549</v>
      </c>
      <c r="I122" s="10" t="s">
        <v>547</v>
      </c>
      <c r="J122" s="10" t="s">
        <v>50</v>
      </c>
      <c r="K122" s="10" t="s">
        <v>51</v>
      </c>
      <c r="L122" s="10" t="s">
        <v>550</v>
      </c>
      <c r="M122" s="12" t="s">
        <v>16</v>
      </c>
      <c r="N122" s="13" t="s">
        <v>167</v>
      </c>
      <c r="O122" s="11"/>
    </row>
    <row r="123" customFormat="false" ht="15" hidden="false" customHeight="false" outlineLevel="0" collapsed="false">
      <c r="A123" s="10" t="s">
        <v>546</v>
      </c>
      <c r="B123" s="10" t="s">
        <v>551</v>
      </c>
      <c r="C123" s="10" t="s">
        <v>552</v>
      </c>
      <c r="D123" s="10" t="s">
        <v>76</v>
      </c>
      <c r="E123" s="10" t="s">
        <v>77</v>
      </c>
      <c r="F123" s="11"/>
      <c r="G123" s="10" t="s">
        <v>24</v>
      </c>
      <c r="H123" s="10" t="s">
        <v>549</v>
      </c>
      <c r="I123" s="10" t="s">
        <v>553</v>
      </c>
      <c r="J123" s="10" t="s">
        <v>50</v>
      </c>
      <c r="K123" s="10" t="s">
        <v>51</v>
      </c>
      <c r="L123" s="10" t="s">
        <v>550</v>
      </c>
      <c r="M123" s="12" t="s">
        <v>16</v>
      </c>
      <c r="N123" s="13" t="s">
        <v>167</v>
      </c>
      <c r="O123" s="11"/>
    </row>
    <row r="124" customFormat="false" ht="15" hidden="false" customHeight="false" outlineLevel="0" collapsed="false">
      <c r="A124" s="10" t="s">
        <v>546</v>
      </c>
      <c r="B124" s="10" t="s">
        <v>332</v>
      </c>
      <c r="C124" s="10" t="s">
        <v>554</v>
      </c>
      <c r="D124" s="10" t="s">
        <v>76</v>
      </c>
      <c r="E124" s="10" t="s">
        <v>77</v>
      </c>
      <c r="F124" s="11"/>
      <c r="G124" s="10" t="s">
        <v>24</v>
      </c>
      <c r="H124" s="10" t="s">
        <v>549</v>
      </c>
      <c r="I124" s="10" t="s">
        <v>335</v>
      </c>
      <c r="J124" s="10" t="s">
        <v>50</v>
      </c>
      <c r="K124" s="10" t="s">
        <v>51</v>
      </c>
      <c r="L124" s="10" t="s">
        <v>550</v>
      </c>
      <c r="M124" s="12" t="s">
        <v>16</v>
      </c>
      <c r="N124" s="13" t="s">
        <v>167</v>
      </c>
      <c r="O124" s="11"/>
    </row>
    <row r="125" customFormat="false" ht="15" hidden="false" customHeight="false" outlineLevel="0" collapsed="false">
      <c r="A125" s="10" t="s">
        <v>546</v>
      </c>
      <c r="B125" s="10" t="s">
        <v>555</v>
      </c>
      <c r="C125" s="10" t="s">
        <v>556</v>
      </c>
      <c r="D125" s="10" t="s">
        <v>76</v>
      </c>
      <c r="E125" s="10" t="s">
        <v>77</v>
      </c>
      <c r="F125" s="11"/>
      <c r="G125" s="10" t="s">
        <v>24</v>
      </c>
      <c r="H125" s="10" t="s">
        <v>549</v>
      </c>
      <c r="I125" s="10" t="s">
        <v>555</v>
      </c>
      <c r="J125" s="10" t="s">
        <v>50</v>
      </c>
      <c r="K125" s="10" t="s">
        <v>51</v>
      </c>
      <c r="L125" s="10" t="s">
        <v>550</v>
      </c>
      <c r="M125" s="12" t="s">
        <v>16</v>
      </c>
      <c r="N125" s="13" t="s">
        <v>167</v>
      </c>
      <c r="O125" s="11"/>
    </row>
    <row r="126" customFormat="false" ht="15" hidden="false" customHeight="false" outlineLevel="0" collapsed="false">
      <c r="A126" s="10" t="s">
        <v>546</v>
      </c>
      <c r="B126" s="10" t="s">
        <v>557</v>
      </c>
      <c r="C126" s="10" t="s">
        <v>558</v>
      </c>
      <c r="D126" s="10" t="s">
        <v>76</v>
      </c>
      <c r="E126" s="10" t="s">
        <v>340</v>
      </c>
      <c r="F126" s="11"/>
      <c r="G126" s="10" t="s">
        <v>24</v>
      </c>
      <c r="H126" s="10" t="s">
        <v>549</v>
      </c>
      <c r="I126" s="10" t="s">
        <v>194</v>
      </c>
      <c r="J126" s="10" t="s">
        <v>50</v>
      </c>
      <c r="K126" s="10" t="s">
        <v>51</v>
      </c>
      <c r="L126" s="10" t="s">
        <v>550</v>
      </c>
      <c r="M126" s="12" t="s">
        <v>16</v>
      </c>
      <c r="N126" s="13" t="s">
        <v>167</v>
      </c>
      <c r="O126" s="11"/>
    </row>
    <row r="127" customFormat="false" ht="15" hidden="false" customHeight="false" outlineLevel="0" collapsed="false">
      <c r="A127" s="10" t="s">
        <v>546</v>
      </c>
      <c r="B127" s="10" t="s">
        <v>559</v>
      </c>
      <c r="C127" s="10" t="s">
        <v>560</v>
      </c>
      <c r="D127" s="10" t="s">
        <v>48</v>
      </c>
      <c r="E127" s="10" t="s">
        <v>49</v>
      </c>
      <c r="F127" s="11"/>
      <c r="G127" s="10" t="s">
        <v>24</v>
      </c>
      <c r="H127" s="10" t="s">
        <v>549</v>
      </c>
      <c r="I127" s="10" t="s">
        <v>561</v>
      </c>
      <c r="J127" s="10" t="s">
        <v>50</v>
      </c>
      <c r="K127" s="10" t="s">
        <v>51</v>
      </c>
      <c r="L127" s="10" t="s">
        <v>550</v>
      </c>
      <c r="M127" s="12" t="s">
        <v>16</v>
      </c>
      <c r="N127" s="13" t="s">
        <v>167</v>
      </c>
      <c r="O127" s="11" t="s">
        <v>562</v>
      </c>
    </row>
    <row r="128" customFormat="false" ht="15" hidden="false" customHeight="false" outlineLevel="0" collapsed="false">
      <c r="A128" s="10" t="s">
        <v>546</v>
      </c>
      <c r="B128" s="10" t="s">
        <v>563</v>
      </c>
      <c r="C128" s="10" t="s">
        <v>564</v>
      </c>
      <c r="D128" s="10" t="s">
        <v>48</v>
      </c>
      <c r="E128" s="10" t="s">
        <v>49</v>
      </c>
      <c r="F128" s="11"/>
      <c r="G128" s="10" t="s">
        <v>24</v>
      </c>
      <c r="H128" s="10" t="s">
        <v>549</v>
      </c>
      <c r="I128" s="10" t="s">
        <v>565</v>
      </c>
      <c r="J128" s="10" t="s">
        <v>50</v>
      </c>
      <c r="K128" s="10" t="s">
        <v>51</v>
      </c>
      <c r="L128" s="10" t="s">
        <v>550</v>
      </c>
      <c r="M128" s="12" t="s">
        <v>16</v>
      </c>
      <c r="N128" s="13" t="s">
        <v>167</v>
      </c>
      <c r="O128" s="11"/>
    </row>
    <row r="129" customFormat="false" ht="15" hidden="false" customHeight="false" outlineLevel="0" collapsed="false">
      <c r="A129" s="10" t="s">
        <v>546</v>
      </c>
      <c r="B129" s="10" t="s">
        <v>566</v>
      </c>
      <c r="C129" s="10" t="s">
        <v>567</v>
      </c>
      <c r="D129" s="10" t="s">
        <v>48</v>
      </c>
      <c r="E129" s="10" t="s">
        <v>49</v>
      </c>
      <c r="F129" s="11"/>
      <c r="G129" s="10" t="s">
        <v>24</v>
      </c>
      <c r="H129" s="10" t="s">
        <v>549</v>
      </c>
      <c r="I129" s="10" t="s">
        <v>568</v>
      </c>
      <c r="J129" s="10" t="s">
        <v>50</v>
      </c>
      <c r="K129" s="10" t="s">
        <v>51</v>
      </c>
      <c r="L129" s="10" t="s">
        <v>550</v>
      </c>
      <c r="M129" s="12" t="s">
        <v>16</v>
      </c>
      <c r="N129" s="13" t="s">
        <v>167</v>
      </c>
      <c r="O129" s="11"/>
    </row>
    <row r="130" customFormat="false" ht="15" hidden="false" customHeight="false" outlineLevel="0" collapsed="false">
      <c r="A130" s="10" t="s">
        <v>546</v>
      </c>
      <c r="B130" s="10" t="s">
        <v>240</v>
      </c>
      <c r="C130" s="10" t="s">
        <v>569</v>
      </c>
      <c r="D130" s="10" t="s">
        <v>48</v>
      </c>
      <c r="E130" s="10" t="s">
        <v>49</v>
      </c>
      <c r="F130" s="11"/>
      <c r="G130" s="10" t="s">
        <v>24</v>
      </c>
      <c r="H130" s="10" t="s">
        <v>549</v>
      </c>
      <c r="I130" s="10" t="s">
        <v>570</v>
      </c>
      <c r="J130" s="10" t="s">
        <v>50</v>
      </c>
      <c r="K130" s="10" t="s">
        <v>51</v>
      </c>
      <c r="L130" s="10" t="s">
        <v>550</v>
      </c>
      <c r="M130" s="12" t="s">
        <v>16</v>
      </c>
      <c r="N130" s="13" t="s">
        <v>167</v>
      </c>
      <c r="O130" s="11"/>
    </row>
    <row r="131" customFormat="false" ht="15" hidden="false" customHeight="false" outlineLevel="0" collapsed="false">
      <c r="A131" s="10" t="s">
        <v>546</v>
      </c>
      <c r="B131" s="10" t="s">
        <v>571</v>
      </c>
      <c r="C131" s="10" t="s">
        <v>572</v>
      </c>
      <c r="D131" s="10" t="s">
        <v>48</v>
      </c>
      <c r="E131" s="10" t="s">
        <v>49</v>
      </c>
      <c r="F131" s="11"/>
      <c r="G131" s="10" t="s">
        <v>24</v>
      </c>
      <c r="H131" s="10" t="s">
        <v>549</v>
      </c>
      <c r="I131" s="10" t="s">
        <v>571</v>
      </c>
      <c r="J131" s="10" t="s">
        <v>50</v>
      </c>
      <c r="K131" s="10" t="s">
        <v>51</v>
      </c>
      <c r="L131" s="10" t="s">
        <v>550</v>
      </c>
      <c r="M131" s="12" t="s">
        <v>16</v>
      </c>
      <c r="N131" s="13" t="s">
        <v>167</v>
      </c>
      <c r="O131" s="11"/>
    </row>
    <row r="132" customFormat="false" ht="15" hidden="false" customHeight="false" outlineLevel="0" collapsed="false">
      <c r="A132" s="10" t="s">
        <v>546</v>
      </c>
      <c r="B132" s="10" t="s">
        <v>573</v>
      </c>
      <c r="C132" s="10" t="s">
        <v>574</v>
      </c>
      <c r="D132" s="10" t="s">
        <v>48</v>
      </c>
      <c r="E132" s="10" t="s">
        <v>49</v>
      </c>
      <c r="F132" s="11"/>
      <c r="G132" s="10" t="s">
        <v>24</v>
      </c>
      <c r="H132" s="10" t="s">
        <v>549</v>
      </c>
      <c r="I132" s="10" t="s">
        <v>575</v>
      </c>
      <c r="J132" s="10" t="s">
        <v>50</v>
      </c>
      <c r="K132" s="10" t="s">
        <v>51</v>
      </c>
      <c r="L132" s="10" t="s">
        <v>550</v>
      </c>
      <c r="M132" s="12" t="s">
        <v>16</v>
      </c>
      <c r="N132" s="13" t="s">
        <v>167</v>
      </c>
      <c r="O132" s="11"/>
    </row>
    <row r="133" customFormat="false" ht="15" hidden="false" customHeight="false" outlineLevel="0" collapsed="false">
      <c r="A133" s="10" t="s">
        <v>546</v>
      </c>
      <c r="B133" s="10" t="s">
        <v>576</v>
      </c>
      <c r="C133" s="10" t="s">
        <v>577</v>
      </c>
      <c r="D133" s="10" t="s">
        <v>48</v>
      </c>
      <c r="E133" s="10" t="s">
        <v>49</v>
      </c>
      <c r="F133" s="11"/>
      <c r="G133" s="10" t="s">
        <v>24</v>
      </c>
      <c r="H133" s="10" t="s">
        <v>549</v>
      </c>
      <c r="I133" s="10" t="s">
        <v>578</v>
      </c>
      <c r="J133" s="10" t="s">
        <v>50</v>
      </c>
      <c r="K133" s="10" t="s">
        <v>51</v>
      </c>
      <c r="L133" s="10" t="s">
        <v>550</v>
      </c>
      <c r="M133" s="12" t="s">
        <v>16</v>
      </c>
      <c r="N133" s="13" t="s">
        <v>167</v>
      </c>
      <c r="O133" s="11"/>
    </row>
    <row r="134" customFormat="false" ht="23.85" hidden="false" customHeight="false" outlineLevel="0" collapsed="false">
      <c r="A134" s="10" t="s">
        <v>579</v>
      </c>
      <c r="B134" s="10" t="s">
        <v>580</v>
      </c>
      <c r="C134" s="10" t="s">
        <v>581</v>
      </c>
      <c r="D134" s="10" t="s">
        <v>582</v>
      </c>
      <c r="E134" s="10" t="s">
        <v>583</v>
      </c>
      <c r="F134" s="11" t="s">
        <v>310</v>
      </c>
      <c r="G134" s="10" t="s">
        <v>24</v>
      </c>
      <c r="H134" s="10" t="s">
        <v>579</v>
      </c>
      <c r="I134" s="10" t="s">
        <v>584</v>
      </c>
      <c r="J134" s="10" t="s">
        <v>50</v>
      </c>
      <c r="K134" s="10" t="s">
        <v>51</v>
      </c>
      <c r="L134" s="10" t="s">
        <v>585</v>
      </c>
      <c r="M134" s="12" t="s">
        <v>16</v>
      </c>
      <c r="N134" s="13" t="s">
        <v>586</v>
      </c>
      <c r="O134" s="11" t="s">
        <v>587</v>
      </c>
    </row>
    <row r="135" customFormat="false" ht="15" hidden="false" customHeight="false" outlineLevel="0" collapsed="false">
      <c r="A135" s="10" t="s">
        <v>579</v>
      </c>
      <c r="B135" s="10" t="s">
        <v>588</v>
      </c>
      <c r="C135" s="10" t="s">
        <v>589</v>
      </c>
      <c r="D135" s="10" t="s">
        <v>48</v>
      </c>
      <c r="E135" s="10" t="s">
        <v>590</v>
      </c>
      <c r="F135" s="11" t="s">
        <v>591</v>
      </c>
      <c r="G135" s="10" t="s">
        <v>24</v>
      </c>
      <c r="H135" s="10" t="s">
        <v>592</v>
      </c>
      <c r="I135" s="10" t="s">
        <v>593</v>
      </c>
      <c r="J135" s="10" t="s">
        <v>114</v>
      </c>
      <c r="K135" s="10" t="s">
        <v>51</v>
      </c>
      <c r="L135" s="10" t="s">
        <v>585</v>
      </c>
      <c r="M135" s="12" t="s">
        <v>16</v>
      </c>
      <c r="N135" s="13" t="s">
        <v>586</v>
      </c>
      <c r="O135" s="11" t="s">
        <v>594</v>
      </c>
    </row>
    <row r="136" customFormat="false" ht="15" hidden="false" customHeight="false" outlineLevel="0" collapsed="false">
      <c r="A136" s="10" t="s">
        <v>579</v>
      </c>
      <c r="B136" s="10" t="s">
        <v>595</v>
      </c>
      <c r="C136" s="10" t="s">
        <v>596</v>
      </c>
      <c r="D136" s="10" t="s">
        <v>48</v>
      </c>
      <c r="E136" s="10" t="s">
        <v>590</v>
      </c>
      <c r="F136" s="11"/>
      <c r="G136" s="10" t="s">
        <v>24</v>
      </c>
      <c r="H136" s="10" t="s">
        <v>592</v>
      </c>
      <c r="I136" s="10" t="s">
        <v>593</v>
      </c>
      <c r="J136" s="10" t="s">
        <v>50</v>
      </c>
      <c r="K136" s="10" t="s">
        <v>51</v>
      </c>
      <c r="L136" s="10" t="s">
        <v>585</v>
      </c>
      <c r="M136" s="12" t="s">
        <v>16</v>
      </c>
      <c r="N136" s="13" t="s">
        <v>586</v>
      </c>
      <c r="O136" s="11" t="s">
        <v>597</v>
      </c>
    </row>
    <row r="137" customFormat="false" ht="15" hidden="false" customHeight="false" outlineLevel="0" collapsed="false">
      <c r="A137" s="10" t="s">
        <v>579</v>
      </c>
      <c r="B137" s="10" t="s">
        <v>598</v>
      </c>
      <c r="C137" s="10" t="s">
        <v>599</v>
      </c>
      <c r="D137" s="10" t="s">
        <v>48</v>
      </c>
      <c r="E137" s="10" t="s">
        <v>590</v>
      </c>
      <c r="F137" s="11"/>
      <c r="G137" s="10" t="s">
        <v>24</v>
      </c>
      <c r="H137" s="10" t="s">
        <v>592</v>
      </c>
      <c r="I137" s="10" t="s">
        <v>593</v>
      </c>
      <c r="J137" s="10" t="s">
        <v>50</v>
      </c>
      <c r="K137" s="10" t="s">
        <v>51</v>
      </c>
      <c r="L137" s="10" t="s">
        <v>585</v>
      </c>
      <c r="M137" s="12" t="s">
        <v>16</v>
      </c>
      <c r="N137" s="13" t="s">
        <v>586</v>
      </c>
      <c r="O137" s="11" t="s">
        <v>597</v>
      </c>
    </row>
    <row r="138" customFormat="false" ht="15" hidden="false" customHeight="false" outlineLevel="0" collapsed="false">
      <c r="A138" s="10" t="s">
        <v>579</v>
      </c>
      <c r="B138" s="10" t="s">
        <v>600</v>
      </c>
      <c r="C138" s="10" t="s">
        <v>601</v>
      </c>
      <c r="D138" s="10" t="s">
        <v>48</v>
      </c>
      <c r="E138" s="10" t="s">
        <v>590</v>
      </c>
      <c r="F138" s="11"/>
      <c r="G138" s="10" t="s">
        <v>24</v>
      </c>
      <c r="H138" s="10" t="s">
        <v>592</v>
      </c>
      <c r="I138" s="10" t="s">
        <v>593</v>
      </c>
      <c r="J138" s="10" t="s">
        <v>50</v>
      </c>
      <c r="K138" s="10" t="s">
        <v>51</v>
      </c>
      <c r="L138" s="10" t="s">
        <v>585</v>
      </c>
      <c r="M138" s="12" t="s">
        <v>16</v>
      </c>
      <c r="N138" s="13" t="s">
        <v>586</v>
      </c>
      <c r="O138" s="11" t="s">
        <v>597</v>
      </c>
    </row>
    <row r="139" customFormat="false" ht="15" hidden="false" customHeight="false" outlineLevel="0" collapsed="false">
      <c r="A139" s="10" t="s">
        <v>579</v>
      </c>
      <c r="B139" s="10" t="s">
        <v>602</v>
      </c>
      <c r="C139" s="10" t="s">
        <v>603</v>
      </c>
      <c r="D139" s="10" t="s">
        <v>48</v>
      </c>
      <c r="E139" s="10" t="s">
        <v>590</v>
      </c>
      <c r="F139" s="11"/>
      <c r="G139" s="10" t="s">
        <v>24</v>
      </c>
      <c r="H139" s="10" t="s">
        <v>592</v>
      </c>
      <c r="I139" s="10" t="s">
        <v>593</v>
      </c>
      <c r="J139" s="10" t="s">
        <v>50</v>
      </c>
      <c r="K139" s="10" t="s">
        <v>51</v>
      </c>
      <c r="L139" s="10" t="s">
        <v>585</v>
      </c>
      <c r="M139" s="12" t="s">
        <v>16</v>
      </c>
      <c r="N139" s="13" t="s">
        <v>586</v>
      </c>
      <c r="O139" s="11" t="s">
        <v>604</v>
      </c>
    </row>
    <row r="140" customFormat="false" ht="15" hidden="false" customHeight="false" outlineLevel="0" collapsed="false">
      <c r="A140" s="10" t="s">
        <v>579</v>
      </c>
      <c r="B140" s="10" t="s">
        <v>605</v>
      </c>
      <c r="C140" s="10" t="s">
        <v>606</v>
      </c>
      <c r="D140" s="10" t="s">
        <v>48</v>
      </c>
      <c r="E140" s="10" t="s">
        <v>590</v>
      </c>
      <c r="F140" s="11"/>
      <c r="G140" s="10" t="s">
        <v>24</v>
      </c>
      <c r="H140" s="10" t="s">
        <v>592</v>
      </c>
      <c r="I140" s="10" t="s">
        <v>593</v>
      </c>
      <c r="J140" s="10" t="s">
        <v>50</v>
      </c>
      <c r="K140" s="10" t="s">
        <v>51</v>
      </c>
      <c r="L140" s="10" t="s">
        <v>585</v>
      </c>
      <c r="M140" s="12" t="s">
        <v>16</v>
      </c>
      <c r="N140" s="13" t="s">
        <v>586</v>
      </c>
      <c r="O140" s="11" t="s">
        <v>597</v>
      </c>
    </row>
    <row r="141" customFormat="false" ht="15" hidden="false" customHeight="false" outlineLevel="0" collapsed="false">
      <c r="A141" s="10" t="s">
        <v>579</v>
      </c>
      <c r="B141" s="10" t="s">
        <v>607</v>
      </c>
      <c r="C141" s="10" t="s">
        <v>608</v>
      </c>
      <c r="D141" s="10" t="s">
        <v>48</v>
      </c>
      <c r="E141" s="10" t="s">
        <v>590</v>
      </c>
      <c r="F141" s="11" t="s">
        <v>591</v>
      </c>
      <c r="G141" s="10" t="s">
        <v>24</v>
      </c>
      <c r="H141" s="10" t="s">
        <v>592</v>
      </c>
      <c r="I141" s="10" t="s">
        <v>593</v>
      </c>
      <c r="J141" s="10" t="s">
        <v>114</v>
      </c>
      <c r="K141" s="10" t="s">
        <v>51</v>
      </c>
      <c r="L141" s="10" t="s">
        <v>585</v>
      </c>
      <c r="M141" s="12" t="s">
        <v>16</v>
      </c>
      <c r="N141" s="13" t="s">
        <v>586</v>
      </c>
      <c r="O141" s="11" t="s">
        <v>609</v>
      </c>
    </row>
    <row r="142" customFormat="false" ht="15" hidden="false" customHeight="false" outlineLevel="0" collapsed="false">
      <c r="A142" s="10" t="s">
        <v>579</v>
      </c>
      <c r="B142" s="10" t="s">
        <v>610</v>
      </c>
      <c r="C142" s="10" t="s">
        <v>611</v>
      </c>
      <c r="D142" s="10" t="s">
        <v>48</v>
      </c>
      <c r="E142" s="10" t="s">
        <v>590</v>
      </c>
      <c r="F142" s="11" t="s">
        <v>591</v>
      </c>
      <c r="G142" s="10" t="s">
        <v>24</v>
      </c>
      <c r="H142" s="10" t="s">
        <v>592</v>
      </c>
      <c r="I142" s="10" t="s">
        <v>593</v>
      </c>
      <c r="J142" s="10" t="s">
        <v>114</v>
      </c>
      <c r="K142" s="10" t="s">
        <v>51</v>
      </c>
      <c r="L142" s="10" t="s">
        <v>585</v>
      </c>
      <c r="M142" s="12" t="s">
        <v>16</v>
      </c>
      <c r="N142" s="13" t="s">
        <v>586</v>
      </c>
      <c r="O142" s="11" t="s">
        <v>612</v>
      </c>
    </row>
    <row r="143" customFormat="false" ht="15" hidden="false" customHeight="false" outlineLevel="0" collapsed="false">
      <c r="A143" s="10" t="s">
        <v>579</v>
      </c>
      <c r="B143" s="10" t="s">
        <v>613</v>
      </c>
      <c r="C143" s="10" t="s">
        <v>614</v>
      </c>
      <c r="D143" s="10" t="s">
        <v>48</v>
      </c>
      <c r="E143" s="10" t="s">
        <v>590</v>
      </c>
      <c r="F143" s="11" t="s">
        <v>591</v>
      </c>
      <c r="G143" s="10" t="s">
        <v>24</v>
      </c>
      <c r="H143" s="10" t="s">
        <v>592</v>
      </c>
      <c r="I143" s="10" t="s">
        <v>593</v>
      </c>
      <c r="J143" s="10" t="s">
        <v>114</v>
      </c>
      <c r="K143" s="10" t="s">
        <v>51</v>
      </c>
      <c r="L143" s="10" t="s">
        <v>585</v>
      </c>
      <c r="M143" s="12" t="s">
        <v>16</v>
      </c>
      <c r="N143" s="13" t="s">
        <v>586</v>
      </c>
      <c r="O143" s="11" t="s">
        <v>615</v>
      </c>
    </row>
    <row r="144" customFormat="false" ht="15" hidden="false" customHeight="false" outlineLevel="0" collapsed="false">
      <c r="A144" s="10" t="s">
        <v>579</v>
      </c>
      <c r="B144" s="10" t="s">
        <v>616</v>
      </c>
      <c r="C144" s="10" t="s">
        <v>617</v>
      </c>
      <c r="D144" s="10" t="s">
        <v>48</v>
      </c>
      <c r="E144" s="10" t="s">
        <v>590</v>
      </c>
      <c r="F144" s="11" t="s">
        <v>591</v>
      </c>
      <c r="G144" s="10" t="s">
        <v>24</v>
      </c>
      <c r="H144" s="10" t="s">
        <v>592</v>
      </c>
      <c r="I144" s="10" t="s">
        <v>593</v>
      </c>
      <c r="J144" s="10" t="s">
        <v>114</v>
      </c>
      <c r="K144" s="10" t="s">
        <v>51</v>
      </c>
      <c r="L144" s="10" t="s">
        <v>585</v>
      </c>
      <c r="M144" s="12" t="s">
        <v>16</v>
      </c>
      <c r="N144" s="13" t="s">
        <v>586</v>
      </c>
      <c r="O144" s="11" t="s">
        <v>618</v>
      </c>
    </row>
    <row r="145" customFormat="false" ht="15" hidden="false" customHeight="false" outlineLevel="0" collapsed="false">
      <c r="A145" s="10" t="s">
        <v>579</v>
      </c>
      <c r="B145" s="10" t="s">
        <v>619</v>
      </c>
      <c r="C145" s="10" t="s">
        <v>620</v>
      </c>
      <c r="D145" s="10" t="s">
        <v>48</v>
      </c>
      <c r="E145" s="10" t="s">
        <v>590</v>
      </c>
      <c r="F145" s="11" t="s">
        <v>591</v>
      </c>
      <c r="G145" s="10" t="s">
        <v>24</v>
      </c>
      <c r="H145" s="10" t="s">
        <v>592</v>
      </c>
      <c r="I145" s="10" t="s">
        <v>593</v>
      </c>
      <c r="J145" s="10" t="s">
        <v>114</v>
      </c>
      <c r="K145" s="10" t="s">
        <v>51</v>
      </c>
      <c r="L145" s="10" t="s">
        <v>585</v>
      </c>
      <c r="M145" s="12" t="s">
        <v>16</v>
      </c>
      <c r="N145" s="13" t="s">
        <v>586</v>
      </c>
      <c r="O145" s="11" t="s">
        <v>621</v>
      </c>
    </row>
    <row r="146" customFormat="false" ht="15" hidden="false" customHeight="false" outlineLevel="0" collapsed="false">
      <c r="A146" s="10" t="s">
        <v>579</v>
      </c>
      <c r="B146" s="10" t="s">
        <v>622</v>
      </c>
      <c r="C146" s="10" t="s">
        <v>623</v>
      </c>
      <c r="D146" s="10" t="s">
        <v>48</v>
      </c>
      <c r="E146" s="10" t="s">
        <v>590</v>
      </c>
      <c r="F146" s="11"/>
      <c r="G146" s="10" t="s">
        <v>24</v>
      </c>
      <c r="H146" s="10" t="s">
        <v>592</v>
      </c>
      <c r="I146" s="10" t="s">
        <v>593</v>
      </c>
      <c r="J146" s="10" t="s">
        <v>50</v>
      </c>
      <c r="K146" s="10" t="s">
        <v>51</v>
      </c>
      <c r="L146" s="10" t="s">
        <v>585</v>
      </c>
      <c r="M146" s="12" t="s">
        <v>16</v>
      </c>
      <c r="N146" s="13" t="s">
        <v>586</v>
      </c>
      <c r="O146" s="11" t="s">
        <v>624</v>
      </c>
    </row>
    <row r="147" customFormat="false" ht="15" hidden="false" customHeight="false" outlineLevel="0" collapsed="false">
      <c r="A147" s="10" t="s">
        <v>625</v>
      </c>
      <c r="B147" s="10" t="s">
        <v>626</v>
      </c>
      <c r="C147" s="10" t="s">
        <v>627</v>
      </c>
      <c r="D147" s="10" t="s">
        <v>65</v>
      </c>
      <c r="E147" s="10" t="s">
        <v>628</v>
      </c>
      <c r="F147" s="11" t="s">
        <v>629</v>
      </c>
      <c r="G147" s="10" t="s">
        <v>24</v>
      </c>
      <c r="H147" s="10" t="s">
        <v>113</v>
      </c>
      <c r="I147" s="10" t="s">
        <v>113</v>
      </c>
      <c r="J147" s="10" t="s">
        <v>60</v>
      </c>
      <c r="K147" s="10" t="s">
        <v>51</v>
      </c>
      <c r="L147" s="10" t="s">
        <v>81</v>
      </c>
      <c r="M147" s="12" t="s">
        <v>16</v>
      </c>
      <c r="N147" s="13" t="s">
        <v>586</v>
      </c>
      <c r="O147" s="11" t="s">
        <v>630</v>
      </c>
    </row>
    <row r="148" customFormat="false" ht="15" hidden="false" customHeight="false" outlineLevel="0" collapsed="false">
      <c r="A148" s="10" t="s">
        <v>625</v>
      </c>
      <c r="B148" s="10" t="s">
        <v>631</v>
      </c>
      <c r="C148" s="10" t="s">
        <v>632</v>
      </c>
      <c r="D148" s="10" t="s">
        <v>633</v>
      </c>
      <c r="E148" s="10" t="s">
        <v>634</v>
      </c>
      <c r="F148" s="11"/>
      <c r="G148" s="10" t="s">
        <v>24</v>
      </c>
      <c r="H148" s="10" t="s">
        <v>113</v>
      </c>
      <c r="I148" s="10" t="s">
        <v>113</v>
      </c>
      <c r="J148" s="10" t="s">
        <v>114</v>
      </c>
      <c r="K148" s="10" t="s">
        <v>51</v>
      </c>
      <c r="L148" s="10" t="s">
        <v>115</v>
      </c>
      <c r="M148" s="12" t="s">
        <v>16</v>
      </c>
      <c r="N148" s="13" t="s">
        <v>586</v>
      </c>
      <c r="O148" s="11" t="s">
        <v>635</v>
      </c>
    </row>
    <row r="149" customFormat="false" ht="15" hidden="false" customHeight="false" outlineLevel="0" collapsed="false">
      <c r="A149" s="10" t="s">
        <v>625</v>
      </c>
      <c r="B149" s="10" t="s">
        <v>636</v>
      </c>
      <c r="C149" s="10" t="s">
        <v>637</v>
      </c>
      <c r="D149" s="10" t="s">
        <v>209</v>
      </c>
      <c r="E149" s="10" t="s">
        <v>432</v>
      </c>
      <c r="F149" s="11"/>
      <c r="G149" s="10" t="s">
        <v>24</v>
      </c>
      <c r="H149" s="10" t="s">
        <v>113</v>
      </c>
      <c r="I149" s="10" t="s">
        <v>113</v>
      </c>
      <c r="J149" s="10" t="s">
        <v>60</v>
      </c>
      <c r="K149" s="10" t="s">
        <v>51</v>
      </c>
      <c r="L149" s="10" t="s">
        <v>115</v>
      </c>
      <c r="M149" s="12" t="s">
        <v>16</v>
      </c>
      <c r="N149" s="13" t="s">
        <v>586</v>
      </c>
      <c r="O149" s="11" t="s">
        <v>638</v>
      </c>
    </row>
  </sheetData>
  <autoFilter ref="A1:O1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24"/>
    <col collapsed="false" customWidth="true" hidden="false" outlineLevel="0" max="6" min="6" style="0" width="72"/>
  </cols>
  <sheetData>
    <row r="1" customFormat="false" ht="15" hidden="false" customHeight="false" outlineLevel="0" collapsed="false">
      <c r="A1" s="16" t="s">
        <v>639</v>
      </c>
      <c r="B1" s="16" t="s">
        <v>640</v>
      </c>
      <c r="C1" s="16" t="s">
        <v>641</v>
      </c>
      <c r="D1" s="16" t="s">
        <v>642</v>
      </c>
      <c r="E1" s="16" t="s">
        <v>643</v>
      </c>
      <c r="F1" s="16" t="s">
        <v>644</v>
      </c>
    </row>
    <row r="2" customFormat="false" ht="15" hidden="false" customHeight="false" outlineLevel="0" collapsed="false">
      <c r="A2" s="17" t="s">
        <v>159</v>
      </c>
      <c r="B2" s="18" t="s">
        <v>153</v>
      </c>
      <c r="C2" s="18" t="s">
        <v>49</v>
      </c>
      <c r="D2" s="18" t="s">
        <v>645</v>
      </c>
      <c r="E2" s="18" t="s">
        <v>646</v>
      </c>
      <c r="F2" s="19" t="s">
        <v>647</v>
      </c>
    </row>
    <row r="3" customFormat="false" ht="15" hidden="false" customHeight="false" outlineLevel="0" collapsed="false">
      <c r="A3" s="10"/>
      <c r="B3" s="10" t="s">
        <v>648</v>
      </c>
      <c r="C3" s="10" t="s">
        <v>49</v>
      </c>
      <c r="D3" s="10" t="s">
        <v>649</v>
      </c>
      <c r="E3" s="10" t="s">
        <v>650</v>
      </c>
      <c r="F3" s="11" t="s">
        <v>651</v>
      </c>
    </row>
    <row r="4" customFormat="false" ht="15" hidden="false" customHeight="false" outlineLevel="0" collapsed="false">
      <c r="A4" s="10"/>
      <c r="B4" s="10" t="s">
        <v>652</v>
      </c>
      <c r="C4" s="10" t="s">
        <v>49</v>
      </c>
      <c r="D4" s="10" t="s">
        <v>649</v>
      </c>
      <c r="E4" s="10" t="s">
        <v>650</v>
      </c>
      <c r="F4" s="11" t="s">
        <v>653</v>
      </c>
    </row>
    <row r="5" customFormat="false" ht="15" hidden="false" customHeight="false" outlineLevel="0" collapsed="false">
      <c r="A5" s="10"/>
      <c r="B5" s="10" t="s">
        <v>46</v>
      </c>
      <c r="C5" s="10" t="s">
        <v>49</v>
      </c>
      <c r="D5" s="10" t="s">
        <v>645</v>
      </c>
      <c r="E5" s="10"/>
      <c r="F5" s="11" t="s">
        <v>654</v>
      </c>
    </row>
    <row r="6" customFormat="false" ht="15" hidden="false" customHeight="false" outlineLevel="0" collapsed="false">
      <c r="A6" s="10"/>
      <c r="B6" s="10" t="s">
        <v>172</v>
      </c>
      <c r="C6" s="10" t="s">
        <v>628</v>
      </c>
      <c r="D6" s="10" t="s">
        <v>649</v>
      </c>
      <c r="E6" s="10" t="s">
        <v>655</v>
      </c>
      <c r="F6" s="11"/>
    </row>
    <row r="7" customFormat="false" ht="15" hidden="false" customHeight="false" outlineLevel="0" collapsed="false">
      <c r="A7" s="10"/>
      <c r="B7" s="10" t="s">
        <v>238</v>
      </c>
      <c r="C7" s="10" t="s">
        <v>628</v>
      </c>
      <c r="D7" s="10" t="s">
        <v>649</v>
      </c>
      <c r="E7" s="10" t="s">
        <v>656</v>
      </c>
      <c r="F7" s="11"/>
    </row>
    <row r="8" customFormat="false" ht="15" hidden="false" customHeight="false" outlineLevel="0" collapsed="false">
      <c r="A8" s="10"/>
      <c r="B8" s="10" t="s">
        <v>224</v>
      </c>
      <c r="C8" s="10" t="s">
        <v>49</v>
      </c>
      <c r="D8" s="10" t="s">
        <v>649</v>
      </c>
      <c r="E8" s="10"/>
      <c r="F8" s="11"/>
    </row>
    <row r="9" customFormat="false" ht="15" hidden="false" customHeight="false" outlineLevel="0" collapsed="false">
      <c r="A9" s="10"/>
      <c r="B9" s="10" t="s">
        <v>657</v>
      </c>
      <c r="C9" s="10" t="s">
        <v>49</v>
      </c>
      <c r="D9" s="10" t="s">
        <v>649</v>
      </c>
      <c r="E9" s="10"/>
      <c r="F9" s="11"/>
    </row>
    <row r="10" customFormat="false" ht="15" hidden="false" customHeight="false" outlineLevel="0" collapsed="false">
      <c r="A10" s="10"/>
      <c r="B10" s="10" t="s">
        <v>658</v>
      </c>
      <c r="C10" s="10" t="s">
        <v>49</v>
      </c>
      <c r="D10" s="10" t="s">
        <v>649</v>
      </c>
      <c r="E10" s="10"/>
      <c r="F10" s="11" t="s">
        <v>659</v>
      </c>
    </row>
    <row r="11" customFormat="false" ht="15" hidden="false" customHeight="false" outlineLevel="0" collapsed="false">
      <c r="A11" s="10"/>
      <c r="B11" s="10" t="s">
        <v>660</v>
      </c>
      <c r="C11" s="10" t="s">
        <v>49</v>
      </c>
      <c r="D11" s="10" t="s">
        <v>649</v>
      </c>
      <c r="E11" s="10"/>
      <c r="F11" s="11"/>
    </row>
    <row r="12" customFormat="false" ht="15" hidden="false" customHeight="false" outlineLevel="0" collapsed="false">
      <c r="A12" s="10"/>
      <c r="B12" s="10" t="s">
        <v>233</v>
      </c>
      <c r="C12" s="10" t="s">
        <v>49</v>
      </c>
      <c r="D12" s="10" t="s">
        <v>649</v>
      </c>
      <c r="E12" s="10"/>
      <c r="F12" s="11"/>
    </row>
    <row r="13" customFormat="false" ht="15" hidden="false" customHeight="false" outlineLevel="0" collapsed="false">
      <c r="A13" s="10"/>
      <c r="B13" s="10" t="s">
        <v>180</v>
      </c>
      <c r="C13" s="10" t="s">
        <v>628</v>
      </c>
      <c r="D13" s="10" t="s">
        <v>649</v>
      </c>
      <c r="E13" s="10"/>
      <c r="F13" s="11" t="s">
        <v>661</v>
      </c>
    </row>
    <row r="14" customFormat="false" ht="15" hidden="false" customHeight="false" outlineLevel="0" collapsed="false">
      <c r="A14" s="10"/>
      <c r="B14" s="10" t="s">
        <v>662</v>
      </c>
      <c r="C14" s="10" t="s">
        <v>663</v>
      </c>
      <c r="D14" s="10" t="s">
        <v>645</v>
      </c>
      <c r="E14" s="10"/>
      <c r="F14" s="11"/>
    </row>
    <row r="15" customFormat="false" ht="15" hidden="false" customHeight="false" outlineLevel="0" collapsed="false">
      <c r="A15" s="10"/>
      <c r="B15" s="10" t="s">
        <v>664</v>
      </c>
      <c r="C15" s="10" t="s">
        <v>665</v>
      </c>
      <c r="D15" s="10" t="s">
        <v>645</v>
      </c>
      <c r="E15" s="10" t="s">
        <v>666</v>
      </c>
      <c r="F15" s="11"/>
    </row>
    <row r="16" customFormat="false" ht="15" hidden="false" customHeight="false" outlineLevel="0" collapsed="false">
      <c r="A16" s="17" t="s">
        <v>177</v>
      </c>
      <c r="B16" s="18" t="s">
        <v>667</v>
      </c>
      <c r="C16" s="18" t="s">
        <v>668</v>
      </c>
      <c r="D16" s="18" t="s">
        <v>645</v>
      </c>
      <c r="E16" s="18" t="s">
        <v>646</v>
      </c>
      <c r="F16" s="19" t="s">
        <v>669</v>
      </c>
    </row>
    <row r="17" customFormat="false" ht="15" hidden="false" customHeight="false" outlineLevel="0" collapsed="false">
      <c r="A17" s="10"/>
      <c r="B17" s="10" t="s">
        <v>153</v>
      </c>
      <c r="C17" s="10" t="s">
        <v>49</v>
      </c>
      <c r="D17" s="10" t="s">
        <v>645</v>
      </c>
      <c r="E17" s="10" t="s">
        <v>670</v>
      </c>
      <c r="F17" s="11"/>
    </row>
    <row r="18" customFormat="false" ht="15" hidden="false" customHeight="false" outlineLevel="0" collapsed="false">
      <c r="A18" s="10"/>
      <c r="B18" s="10" t="s">
        <v>671</v>
      </c>
      <c r="C18" s="10" t="s">
        <v>140</v>
      </c>
      <c r="D18" s="10" t="s">
        <v>645</v>
      </c>
      <c r="E18" s="10"/>
      <c r="F18" s="11"/>
    </row>
    <row r="19" customFormat="false" ht="15" hidden="false" customHeight="false" outlineLevel="0" collapsed="false">
      <c r="A19" s="10"/>
      <c r="B19" s="10" t="s">
        <v>672</v>
      </c>
      <c r="C19" s="10" t="s">
        <v>140</v>
      </c>
      <c r="D19" s="10" t="s">
        <v>649</v>
      </c>
      <c r="E19" s="10"/>
      <c r="F19" s="11" t="s">
        <v>673</v>
      </c>
    </row>
    <row r="20" customFormat="false" ht="15" hidden="false" customHeight="false" outlineLevel="0" collapsed="false">
      <c r="A20" s="10"/>
      <c r="B20" s="10" t="s">
        <v>174</v>
      </c>
      <c r="C20" s="10" t="s">
        <v>49</v>
      </c>
      <c r="D20" s="10" t="s">
        <v>649</v>
      </c>
      <c r="E20" s="10"/>
      <c r="F20" s="11"/>
    </row>
    <row r="21" customFormat="false" ht="15" hidden="false" customHeight="false" outlineLevel="0" collapsed="false">
      <c r="A21" s="10"/>
      <c r="B21" s="10" t="s">
        <v>182</v>
      </c>
      <c r="C21" s="10" t="s">
        <v>49</v>
      </c>
      <c r="D21" s="10" t="s">
        <v>649</v>
      </c>
      <c r="E21" s="10"/>
      <c r="F21" s="11" t="s">
        <v>184</v>
      </c>
    </row>
    <row r="22" customFormat="false" ht="15" hidden="false" customHeight="false" outlineLevel="0" collapsed="false">
      <c r="A22" s="10"/>
      <c r="B22" s="10" t="s">
        <v>674</v>
      </c>
      <c r="C22" s="10" t="s">
        <v>665</v>
      </c>
      <c r="D22" s="10" t="s">
        <v>645</v>
      </c>
      <c r="E22" s="10" t="s">
        <v>666</v>
      </c>
      <c r="F22" s="11"/>
    </row>
    <row r="23" customFormat="false" ht="15" hidden="false" customHeight="false" outlineLevel="0" collapsed="false">
      <c r="A23" s="17" t="s">
        <v>142</v>
      </c>
      <c r="B23" s="18" t="s">
        <v>675</v>
      </c>
      <c r="C23" s="18" t="s">
        <v>668</v>
      </c>
      <c r="D23" s="18" t="s">
        <v>645</v>
      </c>
      <c r="E23" s="18" t="s">
        <v>646</v>
      </c>
      <c r="F23" s="19" t="s">
        <v>676</v>
      </c>
    </row>
    <row r="24" customFormat="false" ht="15" hidden="false" customHeight="false" outlineLevel="0" collapsed="false">
      <c r="A24" s="10"/>
      <c r="B24" s="10" t="s">
        <v>143</v>
      </c>
      <c r="C24" s="10" t="s">
        <v>140</v>
      </c>
      <c r="D24" s="10" t="s">
        <v>645</v>
      </c>
      <c r="E24" s="10"/>
      <c r="F24" s="11" t="s">
        <v>677</v>
      </c>
    </row>
    <row r="25" customFormat="false" ht="15" hidden="false" customHeight="false" outlineLevel="0" collapsed="false">
      <c r="A25" s="10"/>
      <c r="B25" s="10" t="s">
        <v>678</v>
      </c>
      <c r="C25" s="10" t="s">
        <v>663</v>
      </c>
      <c r="D25" s="10" t="s">
        <v>645</v>
      </c>
      <c r="E25" s="10"/>
      <c r="F25" s="11" t="s">
        <v>679</v>
      </c>
    </row>
    <row r="26" customFormat="false" ht="15" hidden="false" customHeight="false" outlineLevel="0" collapsed="false">
      <c r="A26" s="10"/>
      <c r="B26" s="10" t="s">
        <v>680</v>
      </c>
      <c r="C26" s="10" t="s">
        <v>49</v>
      </c>
      <c r="D26" s="10" t="s">
        <v>645</v>
      </c>
      <c r="E26" s="10"/>
      <c r="F26" s="11" t="s">
        <v>681</v>
      </c>
    </row>
    <row r="27" customFormat="false" ht="15" hidden="false" customHeight="false" outlineLevel="0" collapsed="false">
      <c r="A27" s="10"/>
      <c r="B27" s="10" t="s">
        <v>153</v>
      </c>
      <c r="C27" s="10" t="s">
        <v>49</v>
      </c>
      <c r="D27" s="10" t="s">
        <v>649</v>
      </c>
      <c r="E27" s="10" t="s">
        <v>670</v>
      </c>
      <c r="F27" s="11" t="s">
        <v>682</v>
      </c>
    </row>
    <row r="28" customFormat="false" ht="15" hidden="false" customHeight="false" outlineLevel="0" collapsed="false">
      <c r="A28" s="10"/>
      <c r="B28" s="10" t="s">
        <v>439</v>
      </c>
      <c r="C28" s="10" t="s">
        <v>49</v>
      </c>
      <c r="D28" s="10" t="s">
        <v>649</v>
      </c>
      <c r="E28" s="10" t="s">
        <v>683</v>
      </c>
      <c r="F28" s="11"/>
    </row>
    <row r="29" customFormat="false" ht="15" hidden="false" customHeight="false" outlineLevel="0" collapsed="false">
      <c r="A29" s="10"/>
      <c r="B29" s="10" t="s">
        <v>684</v>
      </c>
      <c r="C29" s="10" t="s">
        <v>668</v>
      </c>
      <c r="D29" s="10" t="s">
        <v>649</v>
      </c>
      <c r="E29" s="10" t="s">
        <v>685</v>
      </c>
      <c r="F29" s="11" t="s">
        <v>686</v>
      </c>
    </row>
    <row r="30" customFormat="false" ht="15" hidden="false" customHeight="false" outlineLevel="0" collapsed="false">
      <c r="A30" s="10"/>
      <c r="B30" s="10" t="s">
        <v>149</v>
      </c>
      <c r="C30" s="10" t="s">
        <v>687</v>
      </c>
      <c r="D30" s="10" t="s">
        <v>645</v>
      </c>
      <c r="E30" s="10"/>
      <c r="F30" s="11" t="s">
        <v>688</v>
      </c>
    </row>
    <row r="31" customFormat="false" ht="15" hidden="false" customHeight="false" outlineLevel="0" collapsed="false">
      <c r="A31" s="10"/>
      <c r="B31" s="10" t="s">
        <v>55</v>
      </c>
      <c r="C31" s="10" t="s">
        <v>689</v>
      </c>
      <c r="D31" s="10" t="s">
        <v>645</v>
      </c>
      <c r="E31" s="10"/>
      <c r="F31" s="11" t="s">
        <v>690</v>
      </c>
    </row>
    <row r="32" customFormat="false" ht="15" hidden="false" customHeight="false" outlineLevel="0" collapsed="false">
      <c r="A32" s="10"/>
      <c r="B32" s="10" t="s">
        <v>691</v>
      </c>
      <c r="C32" s="10" t="s">
        <v>692</v>
      </c>
      <c r="D32" s="10" t="s">
        <v>649</v>
      </c>
      <c r="E32" s="10"/>
      <c r="F32" s="11" t="s">
        <v>693</v>
      </c>
    </row>
    <row r="33" customFormat="false" ht="15" hidden="false" customHeight="false" outlineLevel="0" collapsed="false">
      <c r="A33" s="10"/>
      <c r="B33" s="10" t="s">
        <v>694</v>
      </c>
      <c r="C33" s="10" t="s">
        <v>49</v>
      </c>
      <c r="D33" s="10" t="s">
        <v>649</v>
      </c>
      <c r="E33" s="10"/>
      <c r="F33" s="11" t="s">
        <v>695</v>
      </c>
    </row>
    <row r="34" customFormat="false" ht="15" hidden="false" customHeight="false" outlineLevel="0" collapsed="false">
      <c r="A34" s="10"/>
      <c r="B34" s="10" t="s">
        <v>157</v>
      </c>
      <c r="C34" s="10" t="s">
        <v>49</v>
      </c>
      <c r="D34" s="10" t="s">
        <v>649</v>
      </c>
      <c r="E34" s="10"/>
      <c r="F34" s="11"/>
    </row>
    <row r="35" customFormat="false" ht="15" hidden="false" customHeight="false" outlineLevel="0" collapsed="false">
      <c r="A35" s="10"/>
      <c r="B35" s="10" t="s">
        <v>696</v>
      </c>
      <c r="C35" s="10" t="s">
        <v>665</v>
      </c>
      <c r="D35" s="10" t="s">
        <v>645</v>
      </c>
      <c r="E35" s="10" t="s">
        <v>666</v>
      </c>
      <c r="F35" s="11"/>
    </row>
    <row r="36" customFormat="false" ht="15" hidden="false" customHeight="false" outlineLevel="0" collapsed="false">
      <c r="A36" s="17" t="s">
        <v>311</v>
      </c>
      <c r="B36" s="18" t="s">
        <v>684</v>
      </c>
      <c r="C36" s="18" t="s">
        <v>668</v>
      </c>
      <c r="D36" s="18" t="s">
        <v>645</v>
      </c>
      <c r="E36" s="18" t="s">
        <v>646</v>
      </c>
      <c r="F36" s="19"/>
    </row>
    <row r="37" customFormat="false" ht="15" hidden="false" customHeight="false" outlineLevel="0" collapsed="false">
      <c r="A37" s="10"/>
      <c r="B37" s="10" t="s">
        <v>153</v>
      </c>
      <c r="C37" s="10" t="s">
        <v>49</v>
      </c>
      <c r="D37" s="10" t="s">
        <v>645</v>
      </c>
      <c r="E37" s="10" t="s">
        <v>670</v>
      </c>
      <c r="F37" s="11"/>
    </row>
    <row r="38" customFormat="false" ht="15" hidden="false" customHeight="false" outlineLevel="0" collapsed="false">
      <c r="A38" s="10"/>
      <c r="B38" s="10" t="s">
        <v>313</v>
      </c>
      <c r="C38" s="10" t="s">
        <v>140</v>
      </c>
      <c r="D38" s="10" t="s">
        <v>645</v>
      </c>
      <c r="E38" s="10"/>
      <c r="F38" s="11"/>
    </row>
    <row r="39" customFormat="false" ht="15" hidden="false" customHeight="false" outlineLevel="0" collapsed="false">
      <c r="A39" s="10"/>
      <c r="B39" s="10" t="s">
        <v>315</v>
      </c>
      <c r="C39" s="10" t="s">
        <v>49</v>
      </c>
      <c r="D39" s="10" t="s">
        <v>645</v>
      </c>
      <c r="E39" s="10"/>
      <c r="F39" s="11" t="s">
        <v>697</v>
      </c>
    </row>
    <row r="40" customFormat="false" ht="15" hidden="false" customHeight="false" outlineLevel="0" collapsed="false">
      <c r="A40" s="10"/>
      <c r="B40" s="10" t="s">
        <v>319</v>
      </c>
      <c r="C40" s="10" t="s">
        <v>628</v>
      </c>
      <c r="D40" s="10" t="s">
        <v>645</v>
      </c>
      <c r="E40" s="10" t="s">
        <v>698</v>
      </c>
      <c r="F40" s="11"/>
    </row>
    <row r="41" customFormat="false" ht="15" hidden="false" customHeight="false" outlineLevel="0" collapsed="false">
      <c r="A41" s="10"/>
      <c r="B41" s="10" t="s">
        <v>325</v>
      </c>
      <c r="C41" s="10" t="s">
        <v>687</v>
      </c>
      <c r="D41" s="10" t="s">
        <v>649</v>
      </c>
      <c r="E41" s="10"/>
      <c r="F41" s="11" t="s">
        <v>699</v>
      </c>
    </row>
    <row r="42" customFormat="false" ht="15" hidden="false" customHeight="false" outlineLevel="0" collapsed="false">
      <c r="A42" s="10"/>
      <c r="B42" s="10" t="s">
        <v>330</v>
      </c>
      <c r="C42" s="10" t="s">
        <v>687</v>
      </c>
      <c r="D42" s="10" t="s">
        <v>649</v>
      </c>
      <c r="E42" s="10"/>
      <c r="F42" s="11" t="s">
        <v>700</v>
      </c>
    </row>
    <row r="43" customFormat="false" ht="15" hidden="false" customHeight="false" outlineLevel="0" collapsed="false">
      <c r="A43" s="10"/>
      <c r="B43" s="10" t="s">
        <v>335</v>
      </c>
      <c r="C43" s="10" t="s">
        <v>687</v>
      </c>
      <c r="D43" s="10" t="s">
        <v>649</v>
      </c>
      <c r="E43" s="10"/>
      <c r="F43" s="11" t="s">
        <v>701</v>
      </c>
    </row>
    <row r="44" customFormat="false" ht="15" hidden="false" customHeight="false" outlineLevel="0" collapsed="false">
      <c r="A44" s="10"/>
      <c r="B44" s="10" t="s">
        <v>341</v>
      </c>
      <c r="C44" s="10" t="s">
        <v>702</v>
      </c>
      <c r="D44" s="10" t="s">
        <v>649</v>
      </c>
      <c r="E44" s="10"/>
      <c r="F44" s="11"/>
    </row>
    <row r="45" customFormat="false" ht="15" hidden="false" customHeight="false" outlineLevel="0" collapsed="false">
      <c r="A45" s="10"/>
      <c r="B45" s="10" t="s">
        <v>346</v>
      </c>
      <c r="C45" s="10" t="s">
        <v>49</v>
      </c>
      <c r="D45" s="10" t="s">
        <v>649</v>
      </c>
      <c r="E45" s="10"/>
      <c r="F45" s="11"/>
    </row>
    <row r="46" customFormat="false" ht="15" hidden="false" customHeight="false" outlineLevel="0" collapsed="false">
      <c r="A46" s="10"/>
      <c r="B46" s="10" t="s">
        <v>157</v>
      </c>
      <c r="C46" s="10" t="s">
        <v>49</v>
      </c>
      <c r="D46" s="10" t="s">
        <v>649</v>
      </c>
      <c r="E46" s="10"/>
      <c r="F46" s="11"/>
    </row>
    <row r="47" customFormat="false" ht="15" hidden="false" customHeight="false" outlineLevel="0" collapsed="false">
      <c r="A47" s="17" t="s">
        <v>703</v>
      </c>
      <c r="B47" s="18" t="s">
        <v>704</v>
      </c>
      <c r="C47" s="18" t="s">
        <v>668</v>
      </c>
      <c r="D47" s="18" t="s">
        <v>645</v>
      </c>
      <c r="E47" s="18" t="s">
        <v>646</v>
      </c>
      <c r="F47" s="19" t="s">
        <v>705</v>
      </c>
    </row>
    <row r="48" customFormat="false" ht="15" hidden="false" customHeight="false" outlineLevel="0" collapsed="false">
      <c r="A48" s="10"/>
      <c r="B48" s="10" t="s">
        <v>684</v>
      </c>
      <c r="C48" s="10" t="s">
        <v>668</v>
      </c>
      <c r="D48" s="10" t="s">
        <v>645</v>
      </c>
      <c r="E48" s="10" t="s">
        <v>685</v>
      </c>
      <c r="F48" s="11"/>
    </row>
    <row r="49" customFormat="false" ht="15" hidden="false" customHeight="false" outlineLevel="0" collapsed="false">
      <c r="A49" s="10"/>
      <c r="B49" s="10" t="s">
        <v>706</v>
      </c>
      <c r="C49" s="10" t="s">
        <v>49</v>
      </c>
      <c r="D49" s="10" t="s">
        <v>645</v>
      </c>
      <c r="E49" s="10"/>
      <c r="F49" s="11"/>
    </row>
    <row r="50" customFormat="false" ht="15" hidden="false" customHeight="false" outlineLevel="0" collapsed="false">
      <c r="A50" s="10"/>
      <c r="B50" s="10" t="s">
        <v>439</v>
      </c>
      <c r="C50" s="10" t="s">
        <v>49</v>
      </c>
      <c r="D50" s="10" t="s">
        <v>649</v>
      </c>
      <c r="E50" s="10" t="s">
        <v>683</v>
      </c>
      <c r="F50" s="11" t="s">
        <v>707</v>
      </c>
    </row>
    <row r="51" customFormat="false" ht="15" hidden="false" customHeight="false" outlineLevel="0" collapsed="false">
      <c r="A51" s="10"/>
      <c r="B51" s="10" t="s">
        <v>708</v>
      </c>
      <c r="C51" s="10" t="s">
        <v>209</v>
      </c>
      <c r="D51" s="10" t="s">
        <v>645</v>
      </c>
      <c r="E51" s="10"/>
      <c r="F51" s="11" t="s">
        <v>709</v>
      </c>
    </row>
    <row r="52" customFormat="false" ht="15" hidden="false" customHeight="false" outlineLevel="0" collapsed="false">
      <c r="A52" s="10"/>
      <c r="B52" s="10" t="s">
        <v>149</v>
      </c>
      <c r="C52" s="10" t="s">
        <v>687</v>
      </c>
      <c r="D52" s="10" t="s">
        <v>649</v>
      </c>
      <c r="E52" s="10"/>
      <c r="F52" s="11"/>
    </row>
    <row r="53" customFormat="false" ht="15" hidden="false" customHeight="false" outlineLevel="0" collapsed="false">
      <c r="A53" s="17" t="s">
        <v>350</v>
      </c>
      <c r="B53" s="18" t="s">
        <v>710</v>
      </c>
      <c r="C53" s="18" t="s">
        <v>668</v>
      </c>
      <c r="D53" s="18" t="s">
        <v>645</v>
      </c>
      <c r="E53" s="18" t="s">
        <v>646</v>
      </c>
      <c r="F53" s="19"/>
    </row>
    <row r="54" customFormat="false" ht="15" hidden="false" customHeight="false" outlineLevel="0" collapsed="false">
      <c r="A54" s="10"/>
      <c r="B54" s="10" t="s">
        <v>153</v>
      </c>
      <c r="C54" s="10" t="s">
        <v>49</v>
      </c>
      <c r="D54" s="10" t="s">
        <v>645</v>
      </c>
      <c r="E54" s="10" t="s">
        <v>670</v>
      </c>
      <c r="F54" s="11"/>
    </row>
    <row r="55" customFormat="false" ht="15" hidden="false" customHeight="false" outlineLevel="0" collapsed="false">
      <c r="A55" s="10"/>
      <c r="B55" s="10" t="s">
        <v>355</v>
      </c>
      <c r="C55" s="10" t="s">
        <v>140</v>
      </c>
      <c r="D55" s="10" t="s">
        <v>645</v>
      </c>
      <c r="E55" s="10"/>
      <c r="F55" s="11" t="s">
        <v>711</v>
      </c>
    </row>
    <row r="56" customFormat="false" ht="15" hidden="false" customHeight="false" outlineLevel="0" collapsed="false">
      <c r="A56" s="10"/>
      <c r="B56" s="10" t="s">
        <v>678</v>
      </c>
      <c r="C56" s="10" t="s">
        <v>663</v>
      </c>
      <c r="D56" s="10" t="s">
        <v>645</v>
      </c>
      <c r="E56" s="10"/>
      <c r="F56" s="11" t="s">
        <v>712</v>
      </c>
    </row>
    <row r="57" customFormat="false" ht="15" hidden="false" customHeight="false" outlineLevel="0" collapsed="false">
      <c r="A57" s="10"/>
      <c r="B57" s="10" t="s">
        <v>201</v>
      </c>
      <c r="C57" s="10" t="s">
        <v>687</v>
      </c>
      <c r="D57" s="10" t="s">
        <v>645</v>
      </c>
      <c r="E57" s="10"/>
      <c r="F57" s="11"/>
    </row>
    <row r="58" customFormat="false" ht="15" hidden="false" customHeight="false" outlineLevel="0" collapsed="false">
      <c r="A58" s="10"/>
      <c r="B58" s="10" t="s">
        <v>55</v>
      </c>
      <c r="C58" s="10" t="s">
        <v>689</v>
      </c>
      <c r="D58" s="10" t="s">
        <v>645</v>
      </c>
      <c r="E58" s="10"/>
      <c r="F58" s="11"/>
    </row>
    <row r="59" customFormat="false" ht="15" hidden="false" customHeight="false" outlineLevel="0" collapsed="false">
      <c r="A59" s="10"/>
      <c r="B59" s="10" t="s">
        <v>363</v>
      </c>
      <c r="C59" s="10" t="s">
        <v>628</v>
      </c>
      <c r="D59" s="10" t="s">
        <v>645</v>
      </c>
      <c r="E59" s="10" t="s">
        <v>713</v>
      </c>
      <c r="F59" s="11"/>
    </row>
    <row r="60" customFormat="false" ht="15" hidden="false" customHeight="false" outlineLevel="0" collapsed="false">
      <c r="A60" s="10"/>
      <c r="B60" s="10" t="s">
        <v>369</v>
      </c>
      <c r="C60" s="10" t="s">
        <v>49</v>
      </c>
      <c r="D60" s="10" t="s">
        <v>645</v>
      </c>
      <c r="E60" s="10"/>
      <c r="F60" s="11" t="s">
        <v>714</v>
      </c>
    </row>
    <row r="61" customFormat="false" ht="15" hidden="false" customHeight="false" outlineLevel="0" collapsed="false">
      <c r="A61" s="10"/>
      <c r="B61" s="10" t="s">
        <v>367</v>
      </c>
      <c r="C61" s="10" t="s">
        <v>665</v>
      </c>
      <c r="D61" s="10" t="s">
        <v>645</v>
      </c>
      <c r="E61" s="10" t="s">
        <v>666</v>
      </c>
      <c r="F61" s="11"/>
    </row>
    <row r="62" customFormat="false" ht="15" hidden="false" customHeight="false" outlineLevel="0" collapsed="false">
      <c r="A62" s="10"/>
      <c r="B62" s="10" t="s">
        <v>715</v>
      </c>
      <c r="C62" s="10" t="s">
        <v>665</v>
      </c>
      <c r="D62" s="10" t="s">
        <v>649</v>
      </c>
      <c r="E62" s="10" t="s">
        <v>666</v>
      </c>
      <c r="F62" s="11"/>
    </row>
    <row r="63" customFormat="false" ht="15" hidden="false" customHeight="false" outlineLevel="0" collapsed="false">
      <c r="A63" s="10"/>
      <c r="B63" s="10" t="s">
        <v>716</v>
      </c>
      <c r="C63" s="10" t="s">
        <v>663</v>
      </c>
      <c r="D63" s="10" t="s">
        <v>649</v>
      </c>
      <c r="E63" s="10"/>
      <c r="F63" s="11"/>
    </row>
    <row r="64" customFormat="false" ht="15" hidden="false" customHeight="false" outlineLevel="0" collapsed="false">
      <c r="A64" s="10"/>
      <c r="B64" s="10" t="s">
        <v>401</v>
      </c>
      <c r="C64" s="10" t="s">
        <v>49</v>
      </c>
      <c r="D64" s="10" t="s">
        <v>645</v>
      </c>
      <c r="E64" s="10"/>
      <c r="F64" s="11" t="s">
        <v>717</v>
      </c>
    </row>
    <row r="65" customFormat="false" ht="15" hidden="false" customHeight="false" outlineLevel="0" collapsed="false">
      <c r="A65" s="10"/>
      <c r="B65" s="10" t="s">
        <v>718</v>
      </c>
      <c r="C65" s="10" t="s">
        <v>668</v>
      </c>
      <c r="D65" s="10" t="s">
        <v>649</v>
      </c>
      <c r="E65" s="10" t="s">
        <v>719</v>
      </c>
      <c r="F65" s="11" t="s">
        <v>720</v>
      </c>
    </row>
    <row r="66" customFormat="false" ht="15" hidden="false" customHeight="false" outlineLevel="0" collapsed="false">
      <c r="A66" s="17" t="s">
        <v>255</v>
      </c>
      <c r="B66" s="18" t="s">
        <v>721</v>
      </c>
      <c r="C66" s="18" t="s">
        <v>668</v>
      </c>
      <c r="D66" s="18" t="s">
        <v>645</v>
      </c>
      <c r="E66" s="18" t="s">
        <v>646</v>
      </c>
      <c r="F66" s="19" t="s">
        <v>722</v>
      </c>
    </row>
    <row r="67" customFormat="false" ht="15" hidden="false" customHeight="false" outlineLevel="0" collapsed="false">
      <c r="A67" s="10"/>
      <c r="B67" s="10" t="s">
        <v>153</v>
      </c>
      <c r="C67" s="10" t="s">
        <v>49</v>
      </c>
      <c r="D67" s="10" t="s">
        <v>645</v>
      </c>
      <c r="E67" s="10" t="s">
        <v>670</v>
      </c>
      <c r="F67" s="11"/>
    </row>
    <row r="68" customFormat="false" ht="15" hidden="false" customHeight="false" outlineLevel="0" collapsed="false">
      <c r="A68" s="10"/>
      <c r="B68" s="10" t="s">
        <v>126</v>
      </c>
      <c r="C68" s="10" t="s">
        <v>49</v>
      </c>
      <c r="D68" s="10" t="s">
        <v>645</v>
      </c>
      <c r="E68" s="10"/>
      <c r="F68" s="11" t="s">
        <v>723</v>
      </c>
    </row>
    <row r="69" customFormat="false" ht="15" hidden="false" customHeight="false" outlineLevel="0" collapsed="false">
      <c r="A69" s="10"/>
      <c r="B69" s="10" t="s">
        <v>724</v>
      </c>
      <c r="C69" s="10" t="s">
        <v>140</v>
      </c>
      <c r="D69" s="10" t="s">
        <v>645</v>
      </c>
      <c r="E69" s="10"/>
      <c r="F69" s="11"/>
    </row>
    <row r="70" customFormat="false" ht="15" hidden="false" customHeight="false" outlineLevel="0" collapsed="false">
      <c r="A70" s="10"/>
      <c r="B70" s="10" t="s">
        <v>725</v>
      </c>
      <c r="C70" s="10" t="s">
        <v>140</v>
      </c>
      <c r="D70" s="10" t="s">
        <v>645</v>
      </c>
      <c r="E70" s="10"/>
      <c r="F70" s="11"/>
    </row>
    <row r="71" customFormat="false" ht="15" hidden="false" customHeight="false" outlineLevel="0" collapsed="false">
      <c r="A71" s="10"/>
      <c r="B71" s="10" t="s">
        <v>377</v>
      </c>
      <c r="C71" s="10" t="s">
        <v>687</v>
      </c>
      <c r="D71" s="10" t="s">
        <v>649</v>
      </c>
      <c r="E71" s="10"/>
      <c r="F71" s="11"/>
    </row>
    <row r="72" customFormat="false" ht="15" hidden="false" customHeight="false" outlineLevel="0" collapsed="false">
      <c r="A72" s="10"/>
      <c r="B72" s="10" t="s">
        <v>385</v>
      </c>
      <c r="C72" s="10" t="s">
        <v>687</v>
      </c>
      <c r="D72" s="10" t="s">
        <v>649</v>
      </c>
      <c r="E72" s="10"/>
      <c r="F72" s="11"/>
    </row>
    <row r="73" customFormat="false" ht="15" hidden="false" customHeight="false" outlineLevel="0" collapsed="false">
      <c r="A73" s="10"/>
      <c r="B73" s="10" t="s">
        <v>389</v>
      </c>
      <c r="C73" s="10" t="s">
        <v>687</v>
      </c>
      <c r="D73" s="10" t="s">
        <v>649</v>
      </c>
      <c r="E73" s="10"/>
      <c r="F73" s="11"/>
    </row>
    <row r="74" customFormat="false" ht="15" hidden="false" customHeight="false" outlineLevel="0" collapsed="false">
      <c r="A74" s="10"/>
      <c r="B74" s="10" t="s">
        <v>252</v>
      </c>
      <c r="C74" s="10" t="s">
        <v>628</v>
      </c>
      <c r="D74" s="10" t="s">
        <v>649</v>
      </c>
      <c r="E74" s="10"/>
      <c r="F74" s="11" t="s">
        <v>726</v>
      </c>
    </row>
    <row r="75" customFormat="false" ht="15" hidden="false" customHeight="false" outlineLevel="0" collapsed="false">
      <c r="A75" s="10"/>
      <c r="B75" s="10" t="s">
        <v>262</v>
      </c>
      <c r="C75" s="10" t="s">
        <v>628</v>
      </c>
      <c r="D75" s="10" t="s">
        <v>649</v>
      </c>
      <c r="E75" s="10"/>
      <c r="F75" s="11" t="s">
        <v>727</v>
      </c>
    </row>
    <row r="76" customFormat="false" ht="15" hidden="false" customHeight="false" outlineLevel="0" collapsed="false">
      <c r="A76" s="10"/>
      <c r="B76" s="10" t="s">
        <v>270</v>
      </c>
      <c r="C76" s="10" t="s">
        <v>628</v>
      </c>
      <c r="D76" s="10" t="s">
        <v>649</v>
      </c>
      <c r="E76" s="10"/>
      <c r="F76" s="11" t="s">
        <v>728</v>
      </c>
    </row>
    <row r="77" customFormat="false" ht="15" hidden="false" customHeight="false" outlineLevel="0" collapsed="false">
      <c r="A77" s="10"/>
      <c r="B77" s="10" t="s">
        <v>274</v>
      </c>
      <c r="C77" s="10" t="s">
        <v>628</v>
      </c>
      <c r="D77" s="10" t="s">
        <v>649</v>
      </c>
      <c r="E77" s="10"/>
      <c r="F77" s="11"/>
    </row>
    <row r="78" customFormat="false" ht="15" hidden="false" customHeight="false" outlineLevel="0" collapsed="false">
      <c r="A78" s="10"/>
      <c r="B78" s="10" t="s">
        <v>729</v>
      </c>
      <c r="C78" s="10" t="s">
        <v>49</v>
      </c>
      <c r="D78" s="10" t="s">
        <v>645</v>
      </c>
      <c r="E78" s="10"/>
      <c r="F78" s="11" t="s">
        <v>730</v>
      </c>
    </row>
    <row r="79" customFormat="false" ht="15" hidden="false" customHeight="false" outlineLevel="0" collapsed="false">
      <c r="A79" s="10"/>
      <c r="B79" s="10" t="s">
        <v>731</v>
      </c>
      <c r="C79" s="10" t="s">
        <v>663</v>
      </c>
      <c r="D79" s="10" t="s">
        <v>645</v>
      </c>
      <c r="E79" s="10"/>
      <c r="F79" s="11"/>
    </row>
    <row r="80" customFormat="false" ht="15" hidden="false" customHeight="false" outlineLevel="0" collapsed="false">
      <c r="A80" s="17" t="s">
        <v>193</v>
      </c>
      <c r="B80" s="18" t="s">
        <v>732</v>
      </c>
      <c r="C80" s="18" t="s">
        <v>668</v>
      </c>
      <c r="D80" s="18" t="s">
        <v>645</v>
      </c>
      <c r="E80" s="18" t="s">
        <v>646</v>
      </c>
      <c r="F80" s="19" t="s">
        <v>733</v>
      </c>
    </row>
    <row r="81" customFormat="false" ht="15" hidden="false" customHeight="false" outlineLevel="0" collapsed="false">
      <c r="A81" s="10"/>
      <c r="B81" s="10" t="s">
        <v>153</v>
      </c>
      <c r="C81" s="10" t="s">
        <v>49</v>
      </c>
      <c r="D81" s="10" t="s">
        <v>645</v>
      </c>
      <c r="E81" s="10" t="s">
        <v>670</v>
      </c>
      <c r="F81" s="11"/>
    </row>
    <row r="82" customFormat="false" ht="15" hidden="false" customHeight="false" outlineLevel="0" collapsed="false">
      <c r="A82" s="10"/>
      <c r="B82" s="10" t="s">
        <v>734</v>
      </c>
      <c r="C82" s="10" t="s">
        <v>140</v>
      </c>
      <c r="D82" s="10" t="s">
        <v>645</v>
      </c>
      <c r="E82" s="10"/>
      <c r="F82" s="11"/>
    </row>
    <row r="83" customFormat="false" ht="15" hidden="false" customHeight="false" outlineLevel="0" collapsed="false">
      <c r="A83" s="10"/>
      <c r="B83" s="10" t="s">
        <v>194</v>
      </c>
      <c r="C83" s="10" t="s">
        <v>702</v>
      </c>
      <c r="D83" s="10" t="s">
        <v>645</v>
      </c>
      <c r="E83" s="10"/>
      <c r="F83" s="11"/>
    </row>
    <row r="84" customFormat="false" ht="15" hidden="false" customHeight="false" outlineLevel="0" collapsed="false">
      <c r="A84" s="10"/>
      <c r="B84" s="10" t="s">
        <v>242</v>
      </c>
      <c r="C84" s="10" t="s">
        <v>209</v>
      </c>
      <c r="D84" s="10" t="s">
        <v>645</v>
      </c>
      <c r="E84" s="10"/>
      <c r="F84" s="11"/>
    </row>
    <row r="85" customFormat="false" ht="15" hidden="false" customHeight="false" outlineLevel="0" collapsed="false">
      <c r="A85" s="10"/>
      <c r="B85" s="10" t="s">
        <v>694</v>
      </c>
      <c r="C85" s="10" t="s">
        <v>49</v>
      </c>
      <c r="D85" s="10" t="s">
        <v>649</v>
      </c>
      <c r="E85" s="10"/>
      <c r="F85" s="11" t="s">
        <v>735</v>
      </c>
    </row>
    <row r="86" customFormat="false" ht="15" hidden="false" customHeight="false" outlineLevel="0" collapsed="false">
      <c r="A86" s="17" t="s">
        <v>438</v>
      </c>
      <c r="B86" s="18" t="s">
        <v>439</v>
      </c>
      <c r="C86" s="18" t="s">
        <v>49</v>
      </c>
      <c r="D86" s="18" t="s">
        <v>645</v>
      </c>
      <c r="E86" s="18" t="s">
        <v>646</v>
      </c>
      <c r="F86" s="19" t="s">
        <v>736</v>
      </c>
    </row>
    <row r="87" customFormat="false" ht="15" hidden="false" customHeight="false" outlineLevel="0" collapsed="false">
      <c r="A87" s="10"/>
      <c r="B87" s="10" t="s">
        <v>46</v>
      </c>
      <c r="C87" s="10" t="s">
        <v>49</v>
      </c>
      <c r="D87" s="10" t="s">
        <v>645</v>
      </c>
      <c r="E87" s="10"/>
      <c r="F87" s="11"/>
    </row>
    <row r="88" customFormat="false" ht="15" hidden="false" customHeight="false" outlineLevel="0" collapsed="false">
      <c r="A88" s="10"/>
      <c r="B88" s="10" t="s">
        <v>443</v>
      </c>
      <c r="C88" s="10" t="s">
        <v>49</v>
      </c>
      <c r="D88" s="10" t="s">
        <v>645</v>
      </c>
      <c r="E88" s="10"/>
      <c r="F88" s="11"/>
    </row>
    <row r="89" customFormat="false" ht="15" hidden="false" customHeight="false" outlineLevel="0" collapsed="false">
      <c r="A89" s="10"/>
      <c r="B89" s="10" t="s">
        <v>445</v>
      </c>
      <c r="C89" s="10" t="s">
        <v>49</v>
      </c>
      <c r="D89" s="10" t="s">
        <v>649</v>
      </c>
      <c r="E89" s="10"/>
      <c r="F89" s="11"/>
    </row>
    <row r="90" customFormat="false" ht="15" hidden="false" customHeight="false" outlineLevel="0" collapsed="false">
      <c r="A90" s="10"/>
      <c r="B90" s="10" t="s">
        <v>180</v>
      </c>
      <c r="C90" s="10" t="s">
        <v>628</v>
      </c>
      <c r="D90" s="10" t="s">
        <v>649</v>
      </c>
      <c r="E90" s="10"/>
      <c r="F90" s="11"/>
    </row>
    <row r="91" customFormat="false" ht="15" hidden="false" customHeight="false" outlineLevel="0" collapsed="false">
      <c r="A91" s="10"/>
      <c r="B91" s="10" t="s">
        <v>84</v>
      </c>
      <c r="C91" s="10" t="s">
        <v>687</v>
      </c>
      <c r="D91" s="10" t="s">
        <v>645</v>
      </c>
      <c r="E91" s="10"/>
      <c r="F91" s="11"/>
    </row>
    <row r="92" customFormat="false" ht="15" hidden="false" customHeight="false" outlineLevel="0" collapsed="false">
      <c r="A92" s="10"/>
      <c r="B92" s="10" t="s">
        <v>464</v>
      </c>
      <c r="C92" s="10" t="s">
        <v>209</v>
      </c>
      <c r="D92" s="10" t="s">
        <v>645</v>
      </c>
      <c r="E92" s="10"/>
      <c r="F92" s="11"/>
    </row>
    <row r="93" customFormat="false" ht="15" hidden="false" customHeight="false" outlineLevel="0" collapsed="false">
      <c r="A93" s="10"/>
      <c r="B93" s="10" t="s">
        <v>477</v>
      </c>
      <c r="C93" s="10" t="s">
        <v>209</v>
      </c>
      <c r="D93" s="10" t="s">
        <v>649</v>
      </c>
      <c r="E93" s="10"/>
      <c r="F93" s="11"/>
    </row>
    <row r="94" customFormat="false" ht="15" hidden="false" customHeight="false" outlineLevel="0" collapsed="false">
      <c r="A94" s="10"/>
      <c r="B94" s="10" t="s">
        <v>481</v>
      </c>
      <c r="C94" s="10" t="s">
        <v>140</v>
      </c>
      <c r="D94" s="10" t="s">
        <v>649</v>
      </c>
      <c r="E94" s="10"/>
      <c r="F94" s="11"/>
    </row>
    <row r="95" customFormat="false" ht="15" hidden="false" customHeight="false" outlineLevel="0" collapsed="false">
      <c r="A95" s="10"/>
      <c r="B95" s="10" t="s">
        <v>486</v>
      </c>
      <c r="C95" s="10" t="s">
        <v>140</v>
      </c>
      <c r="D95" s="10" t="s">
        <v>649</v>
      </c>
      <c r="E95" s="10"/>
      <c r="F95" s="11"/>
    </row>
    <row r="96" customFormat="false" ht="15" hidden="false" customHeight="false" outlineLevel="0" collapsed="false">
      <c r="A96" s="10"/>
      <c r="B96" s="10" t="s">
        <v>489</v>
      </c>
      <c r="C96" s="10" t="s">
        <v>49</v>
      </c>
      <c r="D96" s="10" t="s">
        <v>649</v>
      </c>
      <c r="E96" s="10"/>
      <c r="F96" s="11"/>
    </row>
    <row r="97" customFormat="false" ht="15" hidden="false" customHeight="false" outlineLevel="0" collapsed="false">
      <c r="A97" s="10"/>
      <c r="B97" s="10" t="s">
        <v>369</v>
      </c>
      <c r="C97" s="10" t="s">
        <v>49</v>
      </c>
      <c r="D97" s="10" t="s">
        <v>649</v>
      </c>
      <c r="E97" s="10"/>
      <c r="F97" s="11"/>
    </row>
    <row r="98" customFormat="false" ht="15" hidden="false" customHeight="false" outlineLevel="0" collapsed="false">
      <c r="A98" s="17" t="s">
        <v>459</v>
      </c>
      <c r="B98" s="18" t="s">
        <v>737</v>
      </c>
      <c r="C98" s="18" t="s">
        <v>668</v>
      </c>
      <c r="D98" s="18" t="s">
        <v>645</v>
      </c>
      <c r="E98" s="18" t="s">
        <v>646</v>
      </c>
      <c r="F98" s="19" t="s">
        <v>738</v>
      </c>
    </row>
    <row r="99" customFormat="false" ht="15" hidden="false" customHeight="false" outlineLevel="0" collapsed="false">
      <c r="A99" s="10"/>
      <c r="B99" s="10" t="s">
        <v>439</v>
      </c>
      <c r="C99" s="10" t="s">
        <v>49</v>
      </c>
      <c r="D99" s="10" t="s">
        <v>645</v>
      </c>
      <c r="E99" s="10" t="s">
        <v>683</v>
      </c>
      <c r="F99" s="11"/>
    </row>
    <row r="100" customFormat="false" ht="15" hidden="false" customHeight="false" outlineLevel="0" collapsed="false">
      <c r="A100" s="10"/>
      <c r="B100" s="10" t="s">
        <v>734</v>
      </c>
      <c r="C100" s="10" t="s">
        <v>140</v>
      </c>
      <c r="D100" s="10" t="s">
        <v>645</v>
      </c>
      <c r="E100" s="10"/>
      <c r="F100" s="11"/>
    </row>
    <row r="101" customFormat="false" ht="15" hidden="false" customHeight="false" outlineLevel="0" collapsed="false">
      <c r="A101" s="10"/>
      <c r="B101" s="10" t="s">
        <v>132</v>
      </c>
      <c r="C101" s="10" t="s">
        <v>687</v>
      </c>
      <c r="D101" s="10" t="s">
        <v>645</v>
      </c>
      <c r="E101" s="10"/>
      <c r="F101" s="11"/>
    </row>
    <row r="102" customFormat="false" ht="15" hidden="false" customHeight="false" outlineLevel="0" collapsed="false">
      <c r="A102" s="10"/>
      <c r="B102" s="10" t="s">
        <v>739</v>
      </c>
      <c r="C102" s="10" t="s">
        <v>140</v>
      </c>
      <c r="D102" s="10" t="s">
        <v>649</v>
      </c>
      <c r="E102" s="10"/>
      <c r="F102" s="11" t="s">
        <v>740</v>
      </c>
    </row>
    <row r="103" customFormat="false" ht="15" hidden="false" customHeight="false" outlineLevel="0" collapsed="false">
      <c r="A103" s="17" t="s">
        <v>45</v>
      </c>
      <c r="B103" s="18" t="s">
        <v>741</v>
      </c>
      <c r="C103" s="18" t="s">
        <v>628</v>
      </c>
      <c r="D103" s="18" t="s">
        <v>645</v>
      </c>
      <c r="E103" s="18" t="s">
        <v>646</v>
      </c>
      <c r="F103" s="19" t="s">
        <v>742</v>
      </c>
    </row>
    <row r="104" customFormat="false" ht="15" hidden="false" customHeight="false" outlineLevel="0" collapsed="false">
      <c r="A104" s="10"/>
      <c r="B104" s="10" t="s">
        <v>46</v>
      </c>
      <c r="C104" s="10" t="s">
        <v>49</v>
      </c>
      <c r="D104" s="10" t="s">
        <v>645</v>
      </c>
      <c r="E104" s="10"/>
      <c r="F104" s="11"/>
    </row>
    <row r="105" customFormat="false" ht="15" hidden="false" customHeight="false" outlineLevel="0" collapsed="false">
      <c r="A105" s="10"/>
      <c r="B105" s="10" t="s">
        <v>69</v>
      </c>
      <c r="C105" s="10" t="s">
        <v>49</v>
      </c>
      <c r="D105" s="10" t="s">
        <v>645</v>
      </c>
      <c r="E105" s="10"/>
      <c r="F105" s="11" t="s">
        <v>72</v>
      </c>
    </row>
    <row r="106" customFormat="false" ht="15" hidden="false" customHeight="false" outlineLevel="0" collapsed="false">
      <c r="A106" s="10"/>
      <c r="B106" s="10" t="s">
        <v>59</v>
      </c>
      <c r="C106" s="10" t="s">
        <v>689</v>
      </c>
      <c r="D106" s="10" t="s">
        <v>645</v>
      </c>
      <c r="E106" s="10"/>
      <c r="F106" s="11"/>
    </row>
    <row r="107" customFormat="false" ht="15" hidden="false" customHeight="false" outlineLevel="0" collapsed="false">
      <c r="A107" s="10"/>
      <c r="B107" s="10" t="s">
        <v>67</v>
      </c>
      <c r="C107" s="10" t="s">
        <v>628</v>
      </c>
      <c r="D107" s="10" t="s">
        <v>645</v>
      </c>
      <c r="E107" s="10"/>
      <c r="F107" s="11"/>
    </row>
    <row r="108" customFormat="false" ht="15" hidden="false" customHeight="false" outlineLevel="0" collapsed="false">
      <c r="A108" s="10"/>
      <c r="B108" s="10" t="s">
        <v>78</v>
      </c>
      <c r="C108" s="10" t="s">
        <v>687</v>
      </c>
      <c r="D108" s="10" t="s">
        <v>649</v>
      </c>
      <c r="E108" s="10"/>
      <c r="F108" s="11"/>
    </row>
    <row r="109" customFormat="false" ht="15" hidden="false" customHeight="false" outlineLevel="0" collapsed="false">
      <c r="A109" s="10"/>
      <c r="B109" s="10" t="s">
        <v>84</v>
      </c>
      <c r="C109" s="10" t="s">
        <v>687</v>
      </c>
      <c r="D109" s="10" t="s">
        <v>649</v>
      </c>
      <c r="E109" s="10"/>
      <c r="F109" s="11" t="s">
        <v>743</v>
      </c>
    </row>
    <row r="110" customFormat="false" ht="15" hidden="false" customHeight="false" outlineLevel="0" collapsed="false">
      <c r="A110" s="10"/>
      <c r="B110" s="10" t="s">
        <v>87</v>
      </c>
      <c r="C110" s="10" t="s">
        <v>687</v>
      </c>
      <c r="D110" s="10" t="s">
        <v>649</v>
      </c>
      <c r="E110" s="10"/>
      <c r="F110" s="11" t="s">
        <v>743</v>
      </c>
    </row>
    <row r="111" customFormat="false" ht="15" hidden="false" customHeight="false" outlineLevel="0" collapsed="false">
      <c r="A111" s="10"/>
      <c r="B111" s="10" t="s">
        <v>98</v>
      </c>
      <c r="C111" s="10" t="s">
        <v>744</v>
      </c>
      <c r="D111" s="10" t="s">
        <v>649</v>
      </c>
      <c r="E111" s="10"/>
      <c r="F111" s="11"/>
    </row>
    <row r="112" customFormat="false" ht="15" hidden="false" customHeight="false" outlineLevel="0" collapsed="false">
      <c r="A112" s="10"/>
      <c r="B112" s="10" t="s">
        <v>92</v>
      </c>
      <c r="C112" s="10" t="s">
        <v>49</v>
      </c>
      <c r="D112" s="10" t="s">
        <v>649</v>
      </c>
      <c r="E112" s="10"/>
      <c r="F112" s="11"/>
    </row>
    <row r="113" customFormat="false" ht="15" hidden="false" customHeight="false" outlineLevel="0" collapsed="false">
      <c r="A113" s="10"/>
      <c r="B113" s="10" t="s">
        <v>120</v>
      </c>
      <c r="C113" s="10" t="s">
        <v>49</v>
      </c>
      <c r="D113" s="10" t="s">
        <v>649</v>
      </c>
      <c r="E113" s="10"/>
      <c r="F113" s="11"/>
    </row>
    <row r="114" customFormat="false" ht="15" hidden="false" customHeight="false" outlineLevel="0" collapsed="false">
      <c r="A114" s="10"/>
      <c r="B114" s="10" t="s">
        <v>104</v>
      </c>
      <c r="C114" s="10" t="s">
        <v>628</v>
      </c>
      <c r="D114" s="10" t="s">
        <v>649</v>
      </c>
      <c r="E114" s="10"/>
      <c r="F114" s="11"/>
    </row>
    <row r="115" customFormat="false" ht="15" hidden="false" customHeight="false" outlineLevel="0" collapsed="false">
      <c r="A115" s="10"/>
      <c r="B115" s="10" t="s">
        <v>108</v>
      </c>
      <c r="C115" s="10" t="s">
        <v>687</v>
      </c>
      <c r="D115" s="10" t="s">
        <v>649</v>
      </c>
      <c r="E115" s="10"/>
      <c r="F115" s="11"/>
    </row>
    <row r="116" customFormat="false" ht="15" hidden="false" customHeight="false" outlineLevel="0" collapsed="false">
      <c r="A116" s="10"/>
      <c r="B116" s="10" t="s">
        <v>745</v>
      </c>
      <c r="C116" s="10" t="s">
        <v>628</v>
      </c>
      <c r="D116" s="10" t="s">
        <v>645</v>
      </c>
      <c r="E116" s="10"/>
      <c r="F116" s="11" t="s">
        <v>746</v>
      </c>
    </row>
    <row r="117" customFormat="false" ht="15" hidden="false" customHeight="false" outlineLevel="0" collapsed="false">
      <c r="A117" s="17" t="s">
        <v>125</v>
      </c>
      <c r="B117" s="18" t="s">
        <v>747</v>
      </c>
      <c r="C117" s="18" t="s">
        <v>668</v>
      </c>
      <c r="D117" s="18" t="s">
        <v>645</v>
      </c>
      <c r="E117" s="18" t="s">
        <v>646</v>
      </c>
      <c r="F117" s="19" t="s">
        <v>748</v>
      </c>
    </row>
    <row r="118" customFormat="false" ht="15" hidden="false" customHeight="false" outlineLevel="0" collapsed="false">
      <c r="A118" s="10"/>
      <c r="B118" s="10" t="s">
        <v>741</v>
      </c>
      <c r="C118" s="10" t="s">
        <v>628</v>
      </c>
      <c r="D118" s="10" t="s">
        <v>645</v>
      </c>
      <c r="E118" s="10" t="s">
        <v>749</v>
      </c>
      <c r="F118" s="11"/>
    </row>
    <row r="119" customFormat="false" ht="15" hidden="false" customHeight="false" outlineLevel="0" collapsed="false">
      <c r="A119" s="10"/>
      <c r="B119" s="10" t="s">
        <v>126</v>
      </c>
      <c r="C119" s="10" t="s">
        <v>49</v>
      </c>
      <c r="D119" s="10" t="s">
        <v>645</v>
      </c>
      <c r="E119" s="10"/>
      <c r="F119" s="11" t="s">
        <v>750</v>
      </c>
    </row>
    <row r="120" customFormat="false" ht="15" hidden="false" customHeight="false" outlineLevel="0" collapsed="false">
      <c r="A120" s="10"/>
      <c r="B120" s="10" t="s">
        <v>725</v>
      </c>
      <c r="C120" s="10" t="s">
        <v>140</v>
      </c>
      <c r="D120" s="10" t="s">
        <v>645</v>
      </c>
      <c r="E120" s="10"/>
      <c r="F120" s="11"/>
    </row>
    <row r="121" customFormat="false" ht="15" hidden="false" customHeight="false" outlineLevel="0" collapsed="false">
      <c r="A121" s="10"/>
      <c r="B121" s="10" t="s">
        <v>132</v>
      </c>
      <c r="C121" s="10" t="s">
        <v>687</v>
      </c>
      <c r="D121" s="10" t="s">
        <v>645</v>
      </c>
      <c r="E121" s="10"/>
      <c r="F121" s="11" t="s">
        <v>751</v>
      </c>
    </row>
    <row r="122" customFormat="false" ht="15" hidden="false" customHeight="false" outlineLevel="0" collapsed="false">
      <c r="A122" s="10"/>
      <c r="B122" s="10" t="s">
        <v>136</v>
      </c>
      <c r="C122" s="10" t="s">
        <v>687</v>
      </c>
      <c r="D122" s="10" t="s">
        <v>645</v>
      </c>
      <c r="E122" s="10"/>
      <c r="F122" s="11"/>
    </row>
    <row r="123" customFormat="false" ht="15" hidden="false" customHeight="false" outlineLevel="0" collapsed="false">
      <c r="A123" s="10"/>
      <c r="B123" s="10" t="s">
        <v>752</v>
      </c>
      <c r="C123" s="10" t="s">
        <v>663</v>
      </c>
      <c r="D123" s="10" t="s">
        <v>649</v>
      </c>
      <c r="E123" s="10"/>
      <c r="F123" s="11" t="s">
        <v>753</v>
      </c>
    </row>
    <row r="124" customFormat="false" ht="15" hidden="false" customHeight="false" outlineLevel="0" collapsed="false">
      <c r="A124" s="17" t="s">
        <v>502</v>
      </c>
      <c r="B124" s="18" t="s">
        <v>503</v>
      </c>
      <c r="C124" s="18" t="s">
        <v>49</v>
      </c>
      <c r="D124" s="18" t="s">
        <v>645</v>
      </c>
      <c r="E124" s="18" t="s">
        <v>646</v>
      </c>
      <c r="F124" s="19" t="s">
        <v>754</v>
      </c>
    </row>
    <row r="125" customFormat="false" ht="15" hidden="false" customHeight="false" outlineLevel="0" collapsed="false">
      <c r="A125" s="10"/>
      <c r="B125" s="10" t="s">
        <v>755</v>
      </c>
      <c r="C125" s="10" t="s">
        <v>49</v>
      </c>
      <c r="D125" s="10" t="s">
        <v>649</v>
      </c>
      <c r="E125" s="10" t="s">
        <v>650</v>
      </c>
      <c r="F125" s="11"/>
    </row>
    <row r="126" customFormat="false" ht="15" hidden="false" customHeight="false" outlineLevel="0" collapsed="false">
      <c r="A126" s="10"/>
      <c r="B126" s="10" t="s">
        <v>46</v>
      </c>
      <c r="C126" s="10" t="s">
        <v>49</v>
      </c>
      <c r="D126" s="10" t="s">
        <v>645</v>
      </c>
      <c r="E126" s="10"/>
      <c r="F126" s="11"/>
    </row>
    <row r="127" customFormat="false" ht="15" hidden="false" customHeight="false" outlineLevel="0" collapsed="false">
      <c r="A127" s="10"/>
      <c r="B127" s="10" t="s">
        <v>172</v>
      </c>
      <c r="C127" s="10" t="s">
        <v>628</v>
      </c>
      <c r="D127" s="10" t="s">
        <v>649</v>
      </c>
      <c r="E127" s="10" t="s">
        <v>655</v>
      </c>
      <c r="F127" s="11"/>
    </row>
    <row r="128" customFormat="false" ht="15" hidden="false" customHeight="false" outlineLevel="0" collapsed="false">
      <c r="A128" s="10"/>
      <c r="B128" s="10" t="s">
        <v>511</v>
      </c>
      <c r="C128" s="10" t="s">
        <v>628</v>
      </c>
      <c r="D128" s="10" t="s">
        <v>645</v>
      </c>
      <c r="E128" s="10" t="s">
        <v>756</v>
      </c>
      <c r="F128" s="11"/>
    </row>
    <row r="129" customFormat="false" ht="15" hidden="false" customHeight="false" outlineLevel="0" collapsed="false">
      <c r="A129" s="10"/>
      <c r="B129" s="10" t="s">
        <v>238</v>
      </c>
      <c r="C129" s="10" t="s">
        <v>628</v>
      </c>
      <c r="D129" s="10" t="s">
        <v>649</v>
      </c>
      <c r="E129" s="10" t="s">
        <v>656</v>
      </c>
      <c r="F129" s="11"/>
    </row>
    <row r="130" customFormat="false" ht="15" hidden="false" customHeight="false" outlineLevel="0" collapsed="false">
      <c r="A130" s="10"/>
      <c r="B130" s="10" t="s">
        <v>757</v>
      </c>
      <c r="C130" s="10" t="s">
        <v>49</v>
      </c>
      <c r="D130" s="10" t="s">
        <v>649</v>
      </c>
      <c r="E130" s="10" t="s">
        <v>683</v>
      </c>
      <c r="F130" s="11" t="s">
        <v>758</v>
      </c>
    </row>
    <row r="131" customFormat="false" ht="15" hidden="false" customHeight="false" outlineLevel="0" collapsed="false">
      <c r="A131" s="10"/>
      <c r="B131" s="10" t="s">
        <v>517</v>
      </c>
      <c r="C131" s="10" t="s">
        <v>687</v>
      </c>
      <c r="D131" s="10" t="s">
        <v>649</v>
      </c>
      <c r="E131" s="10"/>
      <c r="F131" s="11"/>
    </row>
    <row r="132" customFormat="false" ht="15" hidden="false" customHeight="false" outlineLevel="0" collapsed="false">
      <c r="A132" s="10"/>
      <c r="B132" s="10" t="s">
        <v>519</v>
      </c>
      <c r="C132" s="10" t="s">
        <v>687</v>
      </c>
      <c r="D132" s="10" t="s">
        <v>649</v>
      </c>
      <c r="E132" s="10"/>
      <c r="F132" s="11"/>
    </row>
    <row r="133" customFormat="false" ht="15" hidden="false" customHeight="false" outlineLevel="0" collapsed="false">
      <c r="A133" s="10"/>
      <c r="B133" s="10" t="s">
        <v>524</v>
      </c>
      <c r="C133" s="10" t="s">
        <v>665</v>
      </c>
      <c r="D133" s="10" t="s">
        <v>649</v>
      </c>
      <c r="E133" s="10" t="s">
        <v>666</v>
      </c>
      <c r="F133" s="11"/>
    </row>
    <row r="134" customFormat="false" ht="15" hidden="false" customHeight="false" outlineLevel="0" collapsed="false">
      <c r="A134" s="10"/>
      <c r="B134" s="10" t="s">
        <v>528</v>
      </c>
      <c r="C134" s="10" t="s">
        <v>49</v>
      </c>
      <c r="D134" s="10" t="s">
        <v>649</v>
      </c>
      <c r="E134" s="10"/>
      <c r="F134" s="11"/>
    </row>
    <row r="135" customFormat="false" ht="15" hidden="false" customHeight="false" outlineLevel="0" collapsed="false">
      <c r="A135" s="10"/>
      <c r="B135" s="10" t="s">
        <v>531</v>
      </c>
      <c r="C135" s="10" t="s">
        <v>140</v>
      </c>
      <c r="D135" s="10" t="s">
        <v>649</v>
      </c>
      <c r="E135" s="10"/>
      <c r="F135" s="11"/>
    </row>
    <row r="136" customFormat="false" ht="15" hidden="false" customHeight="false" outlineLevel="0" collapsed="false">
      <c r="A136" s="10"/>
      <c r="B136" s="10" t="s">
        <v>535</v>
      </c>
      <c r="C136" s="10" t="s">
        <v>140</v>
      </c>
      <c r="D136" s="10" t="s">
        <v>649</v>
      </c>
      <c r="E136" s="10"/>
      <c r="F136" s="11"/>
    </row>
    <row r="137" customFormat="false" ht="15" hidden="false" customHeight="false" outlineLevel="0" collapsed="false">
      <c r="A137" s="10"/>
      <c r="B137" s="10" t="s">
        <v>759</v>
      </c>
      <c r="C137" s="10" t="s">
        <v>49</v>
      </c>
      <c r="D137" s="10" t="s">
        <v>649</v>
      </c>
      <c r="E137" s="10" t="s">
        <v>670</v>
      </c>
      <c r="F137" s="11" t="s">
        <v>760</v>
      </c>
    </row>
    <row r="138" customFormat="false" ht="15" hidden="false" customHeight="false" outlineLevel="0" collapsed="false">
      <c r="A138" s="10"/>
      <c r="B138" s="10" t="s">
        <v>761</v>
      </c>
      <c r="C138" s="10" t="s">
        <v>663</v>
      </c>
      <c r="D138" s="10" t="s">
        <v>645</v>
      </c>
      <c r="E138" s="10"/>
      <c r="F138" s="11" t="s">
        <v>762</v>
      </c>
    </row>
    <row r="139" customFormat="false" ht="15" hidden="false" customHeight="false" outlineLevel="0" collapsed="false">
      <c r="A139" s="17" t="s">
        <v>540</v>
      </c>
      <c r="B139" s="18" t="s">
        <v>763</v>
      </c>
      <c r="C139" s="18" t="s">
        <v>668</v>
      </c>
      <c r="D139" s="18" t="s">
        <v>645</v>
      </c>
      <c r="E139" s="18" t="s">
        <v>646</v>
      </c>
      <c r="F139" s="19"/>
    </row>
    <row r="140" customFormat="false" ht="15" hidden="false" customHeight="false" outlineLevel="0" collapsed="false">
      <c r="A140" s="10"/>
      <c r="B140" s="10" t="s">
        <v>503</v>
      </c>
      <c r="C140" s="10" t="s">
        <v>49</v>
      </c>
      <c r="D140" s="10" t="s">
        <v>645</v>
      </c>
      <c r="E140" s="10" t="s">
        <v>764</v>
      </c>
      <c r="F140" s="11"/>
    </row>
    <row r="141" customFormat="false" ht="15" hidden="false" customHeight="false" outlineLevel="0" collapsed="false">
      <c r="A141" s="10"/>
      <c r="B141" s="10" t="s">
        <v>541</v>
      </c>
      <c r="C141" s="10" t="s">
        <v>49</v>
      </c>
      <c r="D141" s="10" t="s">
        <v>645</v>
      </c>
      <c r="E141" s="10"/>
      <c r="F141" s="11"/>
    </row>
    <row r="142" customFormat="false" ht="15" hidden="false" customHeight="false" outlineLevel="0" collapsed="false">
      <c r="A142" s="10"/>
      <c r="B142" s="10" t="s">
        <v>765</v>
      </c>
      <c r="C142" s="10" t="s">
        <v>628</v>
      </c>
      <c r="D142" s="10" t="s">
        <v>645</v>
      </c>
      <c r="E142" s="10"/>
      <c r="F142" s="11"/>
    </row>
    <row r="143" customFormat="false" ht="15" hidden="false" customHeight="false" outlineLevel="0" collapsed="false">
      <c r="A143" s="10"/>
      <c r="B143" s="10" t="s">
        <v>401</v>
      </c>
      <c r="C143" s="10" t="s">
        <v>49</v>
      </c>
      <c r="D143" s="10" t="s">
        <v>645</v>
      </c>
      <c r="E143" s="10"/>
      <c r="F143" s="11" t="s">
        <v>766</v>
      </c>
    </row>
    <row r="144" customFormat="false" ht="15" hidden="false" customHeight="false" outlineLevel="0" collapsed="false">
      <c r="A144" s="10"/>
      <c r="B144" s="10" t="s">
        <v>767</v>
      </c>
      <c r="C144" s="10" t="s">
        <v>665</v>
      </c>
      <c r="D144" s="10" t="s">
        <v>649</v>
      </c>
      <c r="E144" s="10" t="s">
        <v>666</v>
      </c>
      <c r="F144" s="11"/>
    </row>
    <row r="145" customFormat="false" ht="15" hidden="false" customHeight="false" outlineLevel="0" collapsed="false">
      <c r="A145" s="10"/>
      <c r="B145" s="10" t="s">
        <v>768</v>
      </c>
      <c r="C145" s="10" t="s">
        <v>663</v>
      </c>
      <c r="D145" s="10" t="s">
        <v>649</v>
      </c>
      <c r="E145" s="10"/>
      <c r="F145" s="11"/>
    </row>
    <row r="146" customFormat="false" ht="15" hidden="false" customHeight="false" outlineLevel="0" collapsed="false">
      <c r="A146" s="17" t="s">
        <v>579</v>
      </c>
      <c r="B146" s="18" t="s">
        <v>769</v>
      </c>
      <c r="C146" s="18" t="s">
        <v>668</v>
      </c>
      <c r="D146" s="18" t="s">
        <v>645</v>
      </c>
      <c r="E146" s="18" t="s">
        <v>646</v>
      </c>
      <c r="F146" s="19" t="s">
        <v>770</v>
      </c>
    </row>
    <row r="147" customFormat="false" ht="15" hidden="false" customHeight="false" outlineLevel="0" collapsed="false">
      <c r="A147" s="10"/>
      <c r="B147" s="10" t="s">
        <v>771</v>
      </c>
      <c r="C147" s="10" t="s">
        <v>49</v>
      </c>
      <c r="D147" s="10" t="s">
        <v>645</v>
      </c>
      <c r="E147" s="10"/>
      <c r="F147" s="11" t="s">
        <v>772</v>
      </c>
    </row>
    <row r="148" customFormat="false" ht="15" hidden="false" customHeight="false" outlineLevel="0" collapsed="false">
      <c r="A148" s="10"/>
      <c r="B148" s="10" t="s">
        <v>584</v>
      </c>
      <c r="C148" s="10" t="s">
        <v>49</v>
      </c>
      <c r="D148" s="10" t="s">
        <v>645</v>
      </c>
      <c r="E148" s="10"/>
      <c r="F148" s="11"/>
    </row>
    <row r="149" customFormat="false" ht="15" hidden="false" customHeight="false" outlineLevel="0" collapsed="false">
      <c r="A149" s="10"/>
      <c r="B149" s="10" t="s">
        <v>395</v>
      </c>
      <c r="C149" s="10" t="s">
        <v>49</v>
      </c>
      <c r="D149" s="10" t="s">
        <v>645</v>
      </c>
      <c r="E149" s="10"/>
      <c r="F149" s="11"/>
    </row>
    <row r="150" customFormat="false" ht="15" hidden="false" customHeight="false" outlineLevel="0" collapsed="false">
      <c r="A150" s="10"/>
      <c r="B150" s="10" t="s">
        <v>773</v>
      </c>
      <c r="C150" s="10" t="s">
        <v>628</v>
      </c>
      <c r="D150" s="10" t="s">
        <v>645</v>
      </c>
      <c r="E150" s="10"/>
      <c r="F150" s="11"/>
    </row>
    <row r="151" customFormat="false" ht="15" hidden="false" customHeight="false" outlineLevel="0" collapsed="false">
      <c r="A151" s="10"/>
      <c r="B151" s="10" t="s">
        <v>401</v>
      </c>
      <c r="C151" s="10" t="s">
        <v>49</v>
      </c>
      <c r="D151" s="10" t="s">
        <v>645</v>
      </c>
      <c r="E151" s="10"/>
      <c r="F151" s="11" t="s">
        <v>774</v>
      </c>
    </row>
    <row r="152" customFormat="false" ht="15" hidden="false" customHeight="false" outlineLevel="0" collapsed="false">
      <c r="A152" s="10"/>
      <c r="B152" s="10" t="s">
        <v>775</v>
      </c>
      <c r="C152" s="10" t="s">
        <v>49</v>
      </c>
      <c r="D152" s="10" t="s">
        <v>649</v>
      </c>
      <c r="E152" s="10"/>
      <c r="F152" s="11" t="s">
        <v>776</v>
      </c>
    </row>
    <row r="153" customFormat="false" ht="15" hidden="false" customHeight="false" outlineLevel="0" collapsed="false">
      <c r="A153" s="10"/>
      <c r="B153" s="10" t="s">
        <v>777</v>
      </c>
      <c r="C153" s="10" t="s">
        <v>665</v>
      </c>
      <c r="D153" s="10" t="s">
        <v>645</v>
      </c>
      <c r="E153" s="10" t="s">
        <v>666</v>
      </c>
      <c r="F153" s="11"/>
    </row>
    <row r="154" customFormat="false" ht="15" hidden="false" customHeight="false" outlineLevel="0" collapsed="false">
      <c r="A154" s="10"/>
      <c r="B154" s="10" t="s">
        <v>662</v>
      </c>
      <c r="C154" s="10" t="s">
        <v>663</v>
      </c>
      <c r="D154" s="10" t="s">
        <v>645</v>
      </c>
      <c r="E154" s="10"/>
      <c r="F154" s="11"/>
    </row>
    <row r="155" customFormat="false" ht="15" hidden="false" customHeight="false" outlineLevel="0" collapsed="false">
      <c r="A155" s="17" t="s">
        <v>592</v>
      </c>
      <c r="B155" s="18" t="s">
        <v>778</v>
      </c>
      <c r="C155" s="18" t="s">
        <v>668</v>
      </c>
      <c r="D155" s="18" t="s">
        <v>645</v>
      </c>
      <c r="E155" s="18" t="s">
        <v>646</v>
      </c>
      <c r="F155" s="19"/>
    </row>
    <row r="156" customFormat="false" ht="15" hidden="false" customHeight="false" outlineLevel="0" collapsed="false">
      <c r="A156" s="10"/>
      <c r="B156" s="10" t="s">
        <v>769</v>
      </c>
      <c r="C156" s="10" t="s">
        <v>668</v>
      </c>
      <c r="D156" s="10" t="s">
        <v>645</v>
      </c>
      <c r="E156" s="10" t="s">
        <v>779</v>
      </c>
      <c r="F156" s="11"/>
    </row>
    <row r="157" customFormat="false" ht="15" hidden="false" customHeight="false" outlineLevel="0" collapsed="false">
      <c r="A157" s="10"/>
      <c r="B157" s="10" t="s">
        <v>780</v>
      </c>
      <c r="C157" s="10" t="s">
        <v>49</v>
      </c>
      <c r="D157" s="10" t="s">
        <v>645</v>
      </c>
      <c r="E157" s="10"/>
      <c r="F157" s="11" t="s">
        <v>781</v>
      </c>
    </row>
    <row r="158" customFormat="false" ht="15" hidden="false" customHeight="false" outlineLevel="0" collapsed="false">
      <c r="A158" s="10"/>
      <c r="B158" s="10" t="s">
        <v>593</v>
      </c>
      <c r="C158" s="10" t="s">
        <v>49</v>
      </c>
      <c r="D158" s="10" t="s">
        <v>649</v>
      </c>
      <c r="E158" s="10"/>
      <c r="F158" s="11" t="s">
        <v>782</v>
      </c>
    </row>
    <row r="159" customFormat="false" ht="15" hidden="false" customHeight="false" outlineLevel="0" collapsed="false">
      <c r="A159" s="10"/>
      <c r="B159" s="10" t="s">
        <v>783</v>
      </c>
      <c r="C159" s="10" t="s">
        <v>209</v>
      </c>
      <c r="D159" s="10" t="s">
        <v>645</v>
      </c>
      <c r="E159" s="10"/>
      <c r="F159" s="11" t="s">
        <v>784</v>
      </c>
    </row>
    <row r="160" customFormat="false" ht="15" hidden="false" customHeight="false" outlineLevel="0" collapsed="false">
      <c r="A160" s="17" t="s">
        <v>785</v>
      </c>
      <c r="B160" s="18" t="s">
        <v>786</v>
      </c>
      <c r="C160" s="18" t="s">
        <v>668</v>
      </c>
      <c r="D160" s="18" t="s">
        <v>645</v>
      </c>
      <c r="E160" s="18" t="s">
        <v>646</v>
      </c>
      <c r="F160" s="19" t="s">
        <v>787</v>
      </c>
    </row>
    <row r="161" customFormat="false" ht="15" hidden="false" customHeight="false" outlineLevel="0" collapsed="false">
      <c r="A161" s="10"/>
      <c r="B161" s="10" t="s">
        <v>788</v>
      </c>
      <c r="C161" s="10" t="s">
        <v>49</v>
      </c>
      <c r="D161" s="10" t="s">
        <v>645</v>
      </c>
      <c r="E161" s="10"/>
      <c r="F161" s="11"/>
    </row>
    <row r="162" customFormat="false" ht="15" hidden="false" customHeight="false" outlineLevel="0" collapsed="false">
      <c r="A162" s="10"/>
      <c r="B162" s="10" t="s">
        <v>789</v>
      </c>
      <c r="C162" s="10" t="s">
        <v>49</v>
      </c>
      <c r="D162" s="10" t="s">
        <v>645</v>
      </c>
      <c r="E162" s="10"/>
      <c r="F162" s="11"/>
    </row>
    <row r="163" customFormat="false" ht="15" hidden="false" customHeight="false" outlineLevel="0" collapsed="false">
      <c r="A163" s="10"/>
      <c r="B163" s="10" t="s">
        <v>790</v>
      </c>
      <c r="C163" s="10" t="s">
        <v>49</v>
      </c>
      <c r="D163" s="10" t="s">
        <v>645</v>
      </c>
      <c r="E163" s="10"/>
      <c r="F163" s="11" t="s">
        <v>791</v>
      </c>
    </row>
    <row r="164" customFormat="false" ht="15" hidden="false" customHeight="false" outlineLevel="0" collapsed="false">
      <c r="A164" s="10"/>
      <c r="B164" s="10" t="s">
        <v>792</v>
      </c>
      <c r="C164" s="10" t="s">
        <v>793</v>
      </c>
      <c r="D164" s="10" t="s">
        <v>649</v>
      </c>
      <c r="E164" s="10"/>
      <c r="F164" s="11"/>
    </row>
    <row r="165" customFormat="false" ht="15" hidden="false" customHeight="false" outlineLevel="0" collapsed="false">
      <c r="A165" s="10"/>
      <c r="B165" s="10" t="s">
        <v>794</v>
      </c>
      <c r="C165" s="10" t="s">
        <v>793</v>
      </c>
      <c r="D165" s="10" t="s">
        <v>649</v>
      </c>
      <c r="E165" s="10"/>
      <c r="F165" s="11"/>
    </row>
    <row r="166" customFormat="false" ht="15" hidden="false" customHeight="false" outlineLevel="0" collapsed="false">
      <c r="A166" s="10"/>
      <c r="B166" s="10" t="s">
        <v>767</v>
      </c>
      <c r="C166" s="10" t="s">
        <v>665</v>
      </c>
      <c r="D166" s="10" t="s">
        <v>645</v>
      </c>
      <c r="E166" s="10" t="s">
        <v>666</v>
      </c>
      <c r="F166" s="11"/>
    </row>
    <row r="167" customFormat="false" ht="15" hidden="false" customHeight="false" outlineLevel="0" collapsed="false">
      <c r="A167" s="10"/>
      <c r="B167" s="10" t="s">
        <v>768</v>
      </c>
      <c r="C167" s="10" t="s">
        <v>663</v>
      </c>
      <c r="D167" s="10" t="s">
        <v>645</v>
      </c>
      <c r="E167" s="10"/>
      <c r="F167" s="11"/>
    </row>
    <row r="168" customFormat="false" ht="15" hidden="false" customHeight="false" outlineLevel="0" collapsed="false">
      <c r="A168" s="17" t="s">
        <v>795</v>
      </c>
      <c r="B168" s="18" t="s">
        <v>796</v>
      </c>
      <c r="C168" s="18" t="s">
        <v>665</v>
      </c>
      <c r="D168" s="18" t="s">
        <v>645</v>
      </c>
      <c r="E168" s="18" t="s">
        <v>646</v>
      </c>
      <c r="F168" s="19" t="s">
        <v>797</v>
      </c>
    </row>
    <row r="169" customFormat="false" ht="15" hidden="false" customHeight="false" outlineLevel="0" collapsed="false">
      <c r="A169" s="10"/>
      <c r="B169" s="10" t="s">
        <v>798</v>
      </c>
      <c r="C169" s="10" t="s">
        <v>49</v>
      </c>
      <c r="D169" s="10" t="s">
        <v>645</v>
      </c>
      <c r="E169" s="10" t="s">
        <v>650</v>
      </c>
      <c r="F169" s="11"/>
    </row>
    <row r="170" customFormat="false" ht="15" hidden="false" customHeight="false" outlineLevel="0" collapsed="false">
      <c r="A170" s="10"/>
      <c r="B170" s="10" t="s">
        <v>799</v>
      </c>
      <c r="C170" s="10" t="s">
        <v>49</v>
      </c>
      <c r="D170" s="10" t="s">
        <v>645</v>
      </c>
      <c r="E170" s="10"/>
      <c r="F170" s="11"/>
    </row>
    <row r="171" customFormat="false" ht="15" hidden="false" customHeight="false" outlineLevel="0" collapsed="false">
      <c r="A171" s="10"/>
      <c r="B171" s="10" t="s">
        <v>800</v>
      </c>
      <c r="C171" s="10" t="s">
        <v>49</v>
      </c>
      <c r="D171" s="10" t="s">
        <v>645</v>
      </c>
      <c r="E171" s="10"/>
      <c r="F171" s="11"/>
    </row>
    <row r="172" customFormat="false" ht="15" hidden="false" customHeight="false" outlineLevel="0" collapsed="false">
      <c r="A172" s="10"/>
      <c r="B172" s="10" t="s">
        <v>801</v>
      </c>
      <c r="C172" s="10" t="s">
        <v>49</v>
      </c>
      <c r="D172" s="10" t="s">
        <v>645</v>
      </c>
      <c r="E172" s="10"/>
      <c r="F172" s="11" t="s">
        <v>802</v>
      </c>
    </row>
    <row r="173" customFormat="false" ht="15" hidden="false" customHeight="false" outlineLevel="0" collapsed="false">
      <c r="A173" s="10"/>
      <c r="B173" s="10" t="s">
        <v>803</v>
      </c>
      <c r="C173" s="10" t="s">
        <v>209</v>
      </c>
      <c r="D173" s="10" t="s">
        <v>645</v>
      </c>
      <c r="E173" s="10"/>
      <c r="F173" s="1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40"/>
    <col collapsed="false" customWidth="true" hidden="false" outlineLevel="0" max="5" min="5" style="0" width="26"/>
    <col collapsed="false" customWidth="true" hidden="false" outlineLevel="0" max="6" min="6" style="0" width="20"/>
    <col collapsed="false" customWidth="true" hidden="false" outlineLevel="0" max="7" min="7" style="0" width="74"/>
  </cols>
  <sheetData>
    <row r="1" customFormat="false" ht="30" hidden="false" customHeight="true" outlineLevel="0" collapsed="false">
      <c r="A1" s="9" t="s">
        <v>39</v>
      </c>
      <c r="B1" s="9" t="s">
        <v>804</v>
      </c>
      <c r="C1" s="9" t="s">
        <v>805</v>
      </c>
      <c r="D1" s="9" t="s">
        <v>806</v>
      </c>
      <c r="E1" s="9" t="s">
        <v>41</v>
      </c>
      <c r="F1" s="9" t="s">
        <v>807</v>
      </c>
      <c r="G1" s="9" t="s">
        <v>44</v>
      </c>
    </row>
    <row r="2" customFormat="false" ht="23.85" hidden="false" customHeight="false" outlineLevel="0" collapsed="false">
      <c r="A2" s="11" t="s">
        <v>166</v>
      </c>
      <c r="B2" s="11" t="s">
        <v>808</v>
      </c>
      <c r="C2" s="11" t="s">
        <v>809</v>
      </c>
      <c r="D2" s="11" t="s">
        <v>810</v>
      </c>
      <c r="E2" s="11" t="s">
        <v>811</v>
      </c>
      <c r="F2" s="11" t="s">
        <v>812</v>
      </c>
      <c r="G2" s="11" t="s">
        <v>813</v>
      </c>
    </row>
    <row r="3" customFormat="false" ht="35.05" hidden="false" customHeight="false" outlineLevel="0" collapsed="false">
      <c r="A3" s="11" t="s">
        <v>256</v>
      </c>
      <c r="B3" s="11" t="s">
        <v>808</v>
      </c>
      <c r="C3" s="11" t="s">
        <v>814</v>
      </c>
      <c r="D3" s="11" t="s">
        <v>815</v>
      </c>
      <c r="E3" s="11" t="s">
        <v>127</v>
      </c>
      <c r="F3" s="11" t="s">
        <v>812</v>
      </c>
      <c r="G3" s="11" t="s">
        <v>816</v>
      </c>
    </row>
    <row r="4" customFormat="false" ht="35.05" hidden="false" customHeight="false" outlineLevel="0" collapsed="false">
      <c r="A4" s="11" t="s">
        <v>79</v>
      </c>
      <c r="B4" s="20" t="s">
        <v>817</v>
      </c>
      <c r="C4" s="11" t="s">
        <v>818</v>
      </c>
      <c r="D4" s="11" t="s">
        <v>819</v>
      </c>
      <c r="E4" s="11" t="s">
        <v>144</v>
      </c>
      <c r="F4" s="11" t="s">
        <v>80</v>
      </c>
      <c r="G4" s="11" t="s">
        <v>820</v>
      </c>
    </row>
    <row r="5" customFormat="false" ht="35.05" hidden="false" customHeight="false" outlineLevel="0" collapsed="false">
      <c r="A5" s="11" t="s">
        <v>351</v>
      </c>
      <c r="B5" s="11" t="s">
        <v>821</v>
      </c>
      <c r="C5" s="11" t="s">
        <v>822</v>
      </c>
      <c r="D5" s="11" t="s">
        <v>823</v>
      </c>
      <c r="E5" s="11" t="s">
        <v>824</v>
      </c>
      <c r="F5" s="11" t="s">
        <v>80</v>
      </c>
      <c r="G5" s="11" t="s">
        <v>825</v>
      </c>
    </row>
    <row r="6" customFormat="false" ht="23.85" hidden="false" customHeight="false" outlineLevel="0" collapsed="false">
      <c r="A6" s="11" t="s">
        <v>243</v>
      </c>
      <c r="B6" s="20" t="s">
        <v>826</v>
      </c>
      <c r="C6" s="11" t="s">
        <v>827</v>
      </c>
      <c r="D6" s="11" t="s">
        <v>828</v>
      </c>
      <c r="E6" s="11" t="s">
        <v>195</v>
      </c>
      <c r="F6" s="11" t="s">
        <v>829</v>
      </c>
      <c r="G6" s="11" t="s">
        <v>830</v>
      </c>
    </row>
    <row r="7" customFormat="false" ht="23.85" hidden="false" customHeight="false" outlineLevel="0" collapsed="false">
      <c r="A7" s="11" t="s">
        <v>831</v>
      </c>
      <c r="B7" s="11" t="s">
        <v>115</v>
      </c>
      <c r="C7" s="11" t="s">
        <v>832</v>
      </c>
      <c r="D7" s="11" t="s">
        <v>833</v>
      </c>
      <c r="E7" s="11" t="s">
        <v>195</v>
      </c>
      <c r="F7" s="11" t="s">
        <v>812</v>
      </c>
      <c r="G7" s="11" t="s">
        <v>834</v>
      </c>
    </row>
    <row r="8" customFormat="false" ht="23.85" hidden="false" customHeight="false" outlineLevel="0" collapsed="false">
      <c r="A8" s="11" t="s">
        <v>835</v>
      </c>
      <c r="B8" s="11" t="s">
        <v>115</v>
      </c>
      <c r="C8" s="11" t="s">
        <v>836</v>
      </c>
      <c r="D8" s="11" t="s">
        <v>837</v>
      </c>
      <c r="E8" s="11" t="s">
        <v>838</v>
      </c>
      <c r="F8" s="11" t="s">
        <v>80</v>
      </c>
      <c r="G8" s="11" t="s">
        <v>839</v>
      </c>
    </row>
    <row r="9" customFormat="false" ht="23.85" hidden="false" customHeight="false" outlineLevel="0" collapsed="false">
      <c r="A9" s="11" t="s">
        <v>50</v>
      </c>
      <c r="B9" s="20" t="s">
        <v>840</v>
      </c>
      <c r="C9" s="11" t="s">
        <v>841</v>
      </c>
      <c r="D9" s="11" t="s">
        <v>842</v>
      </c>
      <c r="E9" s="11" t="s">
        <v>843</v>
      </c>
      <c r="F9" s="11" t="s">
        <v>812</v>
      </c>
      <c r="G9" s="11" t="s">
        <v>844</v>
      </c>
    </row>
    <row r="10" customFormat="false" ht="15" hidden="false" customHeight="false" outlineLevel="0" collapsed="false">
      <c r="A10" s="11" t="s">
        <v>845</v>
      </c>
      <c r="B10" s="11" t="s">
        <v>115</v>
      </c>
      <c r="C10" s="11" t="s">
        <v>846</v>
      </c>
      <c r="D10" s="11" t="s">
        <v>847</v>
      </c>
      <c r="E10" s="11" t="s">
        <v>115</v>
      </c>
      <c r="F10" s="11" t="s">
        <v>848</v>
      </c>
      <c r="G10" s="11" t="s">
        <v>849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64"/>
    <col collapsed="false" customWidth="true" hidden="false" outlineLevel="0" max="4" min="4" style="0" width="72"/>
    <col collapsed="false" customWidth="true" hidden="false" outlineLevel="0" max="5" min="5" style="0" width="24"/>
    <col collapsed="false" customWidth="true" hidden="false" outlineLevel="0" max="6" min="6" style="0" width="14"/>
  </cols>
  <sheetData>
    <row r="1" customFormat="false" ht="15" hidden="false" customHeight="false" outlineLevel="0" collapsed="false">
      <c r="A1" s="16" t="s">
        <v>850</v>
      </c>
      <c r="B1" s="16" t="s">
        <v>33</v>
      </c>
      <c r="C1" s="16" t="s">
        <v>851</v>
      </c>
      <c r="D1" s="16" t="s">
        <v>852</v>
      </c>
      <c r="E1" s="16" t="s">
        <v>807</v>
      </c>
      <c r="F1" s="16" t="s">
        <v>853</v>
      </c>
    </row>
    <row r="2" customFormat="false" ht="23.85" hidden="false" customHeight="false" outlineLevel="0" collapsed="false">
      <c r="A2" s="21" t="s">
        <v>854</v>
      </c>
      <c r="B2" s="11" t="s">
        <v>855</v>
      </c>
      <c r="C2" s="11" t="s">
        <v>856</v>
      </c>
      <c r="D2" s="11" t="s">
        <v>857</v>
      </c>
      <c r="E2" s="11" t="s">
        <v>858</v>
      </c>
      <c r="F2" s="22" t="s">
        <v>586</v>
      </c>
    </row>
    <row r="3" customFormat="false" ht="23.85" hidden="false" customHeight="false" outlineLevel="0" collapsed="false">
      <c r="A3" s="21" t="s">
        <v>859</v>
      </c>
      <c r="B3" s="11" t="s">
        <v>855</v>
      </c>
      <c r="C3" s="11" t="s">
        <v>860</v>
      </c>
      <c r="D3" s="11" t="s">
        <v>861</v>
      </c>
      <c r="E3" s="11" t="s">
        <v>858</v>
      </c>
      <c r="F3" s="22" t="s">
        <v>128</v>
      </c>
    </row>
    <row r="4" customFormat="false" ht="23.85" hidden="false" customHeight="false" outlineLevel="0" collapsed="false">
      <c r="A4" s="23" t="s">
        <v>862</v>
      </c>
      <c r="B4" s="11" t="s">
        <v>863</v>
      </c>
      <c r="C4" s="11" t="s">
        <v>864</v>
      </c>
      <c r="D4" s="11" t="s">
        <v>865</v>
      </c>
      <c r="E4" s="11" t="s">
        <v>858</v>
      </c>
      <c r="F4" s="22" t="s">
        <v>53</v>
      </c>
    </row>
    <row r="5" customFormat="false" ht="15" hidden="false" customHeight="false" outlineLevel="0" collapsed="false">
      <c r="A5" s="23" t="s">
        <v>866</v>
      </c>
      <c r="B5" s="11" t="s">
        <v>863</v>
      </c>
      <c r="C5" s="11" t="s">
        <v>867</v>
      </c>
      <c r="D5" s="11" t="s">
        <v>868</v>
      </c>
      <c r="E5" s="11" t="s">
        <v>858</v>
      </c>
      <c r="F5" s="22" t="s">
        <v>353</v>
      </c>
    </row>
    <row r="6" customFormat="false" ht="23.85" hidden="false" customHeight="false" outlineLevel="0" collapsed="false">
      <c r="A6" s="23" t="s">
        <v>869</v>
      </c>
      <c r="B6" s="11" t="s">
        <v>863</v>
      </c>
      <c r="C6" s="11" t="s">
        <v>870</v>
      </c>
      <c r="D6" s="11" t="s">
        <v>871</v>
      </c>
      <c r="E6" s="11" t="s">
        <v>858</v>
      </c>
      <c r="F6" s="22" t="s">
        <v>196</v>
      </c>
    </row>
    <row r="7" customFormat="false" ht="23.85" hidden="false" customHeight="false" outlineLevel="0" collapsed="false">
      <c r="A7" s="23" t="s">
        <v>872</v>
      </c>
      <c r="B7" s="11" t="s">
        <v>863</v>
      </c>
      <c r="C7" s="11" t="s">
        <v>873</v>
      </c>
      <c r="D7" s="11" t="s">
        <v>874</v>
      </c>
      <c r="E7" s="11" t="s">
        <v>858</v>
      </c>
      <c r="F7" s="22" t="s">
        <v>257</v>
      </c>
    </row>
    <row r="8" customFormat="false" ht="15" hidden="false" customHeight="false" outlineLevel="0" collapsed="false">
      <c r="A8" s="20" t="s">
        <v>875</v>
      </c>
      <c r="B8" s="11" t="s">
        <v>876</v>
      </c>
      <c r="C8" s="11" t="s">
        <v>877</v>
      </c>
      <c r="D8" s="11" t="s">
        <v>878</v>
      </c>
      <c r="E8" s="11" t="s">
        <v>812</v>
      </c>
      <c r="F8" s="22" t="s">
        <v>257</v>
      </c>
    </row>
    <row r="9" customFormat="false" ht="23.85" hidden="false" customHeight="false" outlineLevel="0" collapsed="false">
      <c r="A9" s="20" t="s">
        <v>879</v>
      </c>
      <c r="B9" s="11" t="s">
        <v>876</v>
      </c>
      <c r="C9" s="11" t="s">
        <v>880</v>
      </c>
      <c r="D9" s="11" t="s">
        <v>881</v>
      </c>
      <c r="E9" s="11" t="s">
        <v>882</v>
      </c>
      <c r="F9" s="22" t="s">
        <v>883</v>
      </c>
    </row>
    <row r="10" customFormat="false" ht="23.85" hidden="false" customHeight="false" outlineLevel="0" collapsed="false">
      <c r="A10" s="20" t="s">
        <v>884</v>
      </c>
      <c r="B10" s="11" t="s">
        <v>876</v>
      </c>
      <c r="C10" s="11" t="s">
        <v>885</v>
      </c>
      <c r="D10" s="11" t="s">
        <v>886</v>
      </c>
      <c r="E10" s="11" t="s">
        <v>887</v>
      </c>
      <c r="F10" s="22" t="s">
        <v>888</v>
      </c>
    </row>
    <row r="11" customFormat="false" ht="23.85" hidden="false" customHeight="false" outlineLevel="0" collapsed="false">
      <c r="A11" s="20" t="s">
        <v>889</v>
      </c>
      <c r="B11" s="11" t="s">
        <v>876</v>
      </c>
      <c r="C11" s="11" t="s">
        <v>890</v>
      </c>
      <c r="D11" s="11" t="s">
        <v>891</v>
      </c>
      <c r="E11" s="11" t="s">
        <v>892</v>
      </c>
      <c r="F11" s="22" t="s">
        <v>888</v>
      </c>
    </row>
    <row r="12" customFormat="false" ht="23.85" hidden="false" customHeight="false" outlineLevel="0" collapsed="false">
      <c r="A12" s="20" t="s">
        <v>893</v>
      </c>
      <c r="B12" s="11" t="s">
        <v>876</v>
      </c>
      <c r="C12" s="11" t="s">
        <v>894</v>
      </c>
      <c r="D12" s="11" t="s">
        <v>895</v>
      </c>
      <c r="E12" s="11" t="s">
        <v>80</v>
      </c>
      <c r="F12" s="22" t="s">
        <v>888</v>
      </c>
    </row>
    <row r="13" customFormat="false" ht="23.85" hidden="false" customHeight="false" outlineLevel="0" collapsed="false">
      <c r="A13" s="20" t="s">
        <v>896</v>
      </c>
      <c r="B13" s="11" t="s">
        <v>876</v>
      </c>
      <c r="C13" s="11" t="s">
        <v>897</v>
      </c>
      <c r="D13" s="11" t="s">
        <v>898</v>
      </c>
      <c r="E13" s="11" t="s">
        <v>892</v>
      </c>
      <c r="F13" s="22" t="s">
        <v>899</v>
      </c>
    </row>
    <row r="14" customFormat="false" ht="23.85" hidden="false" customHeight="false" outlineLevel="0" collapsed="false">
      <c r="A14" s="23" t="s">
        <v>900</v>
      </c>
      <c r="B14" s="11" t="s">
        <v>901</v>
      </c>
      <c r="C14" s="11" t="s">
        <v>902</v>
      </c>
      <c r="D14" s="11" t="s">
        <v>903</v>
      </c>
      <c r="E14" s="11" t="s">
        <v>113</v>
      </c>
      <c r="F14" s="22" t="s">
        <v>353</v>
      </c>
    </row>
    <row r="15" customFormat="false" ht="15" hidden="false" customHeight="false" outlineLevel="0" collapsed="false">
      <c r="A15" s="23" t="s">
        <v>904</v>
      </c>
      <c r="B15" s="11" t="s">
        <v>901</v>
      </c>
      <c r="C15" s="11" t="s">
        <v>905</v>
      </c>
      <c r="D15" s="11" t="s">
        <v>906</v>
      </c>
      <c r="E15" s="11" t="s">
        <v>113</v>
      </c>
      <c r="F15" s="22" t="s">
        <v>353</v>
      </c>
    </row>
    <row r="16" customFormat="false" ht="23.85" hidden="false" customHeight="false" outlineLevel="0" collapsed="false">
      <c r="A16" s="23" t="s">
        <v>907</v>
      </c>
      <c r="B16" s="11" t="s">
        <v>901</v>
      </c>
      <c r="C16" s="11" t="s">
        <v>908</v>
      </c>
      <c r="D16" s="11" t="s">
        <v>909</v>
      </c>
      <c r="E16" s="11" t="s">
        <v>113</v>
      </c>
      <c r="F16" s="22" t="s">
        <v>910</v>
      </c>
    </row>
    <row r="17" customFormat="false" ht="23.85" hidden="false" customHeight="false" outlineLevel="0" collapsed="false">
      <c r="A17" s="23" t="s">
        <v>911</v>
      </c>
      <c r="B17" s="11" t="s">
        <v>901</v>
      </c>
      <c r="C17" s="11" t="s">
        <v>912</v>
      </c>
      <c r="D17" s="11" t="s">
        <v>913</v>
      </c>
      <c r="E17" s="11" t="s">
        <v>113</v>
      </c>
      <c r="F17" s="22" t="s">
        <v>257</v>
      </c>
    </row>
    <row r="18" customFormat="false" ht="15" hidden="false" customHeight="false" outlineLevel="0" collapsed="false">
      <c r="A18" s="23" t="s">
        <v>914</v>
      </c>
      <c r="B18" s="11" t="s">
        <v>901</v>
      </c>
      <c r="C18" s="11" t="s">
        <v>915</v>
      </c>
      <c r="D18" s="11" t="s">
        <v>916</v>
      </c>
      <c r="E18" s="11" t="s">
        <v>113</v>
      </c>
      <c r="F18" s="22" t="s">
        <v>53</v>
      </c>
    </row>
    <row r="19" customFormat="false" ht="23.85" hidden="false" customHeight="false" outlineLevel="0" collapsed="false">
      <c r="A19" s="23" t="s">
        <v>917</v>
      </c>
      <c r="B19" s="11" t="s">
        <v>901</v>
      </c>
      <c r="C19" s="11" t="s">
        <v>918</v>
      </c>
      <c r="D19" s="11" t="s">
        <v>919</v>
      </c>
      <c r="E19" s="11" t="s">
        <v>113</v>
      </c>
      <c r="F19" s="22" t="s">
        <v>883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2026-07-28T17:51:30Z</dcterms:created>
  <dc:creator>openpyxl</dc:creator>
  <dc:description/>
  <dc:language>en-US</dc:language>
  <cp:lastModifiedBy/>
  <dcterms:modified xsi:type="dcterms:W3CDTF">2026-07-28T17:51:30Z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